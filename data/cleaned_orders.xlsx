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ed_orders" state="visible" r:id="rId4"/>
    <sheet sheetId="2" name="business_rules" state="visible" r:id="rId5"/>
  </sheets>
  <calcPr calcId="171027"/>
</workbook>
</file>

<file path=xl/sharedStrings.xml><?xml version="1.0" encoding="utf-8"?>
<sst xmlns="http://schemas.openxmlformats.org/spreadsheetml/2006/main" count="14646" uniqueCount="2866">
  <si>
    <t>row_number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</si>
  <si>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</si>
  <si>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</si>
  <si>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</si>
  <si>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</si>
  <si>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</si>
  <si>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</si>
  <si>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</si>
  <si>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</si>
  <si>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</si>
  <si>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</si>
  <si>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</si>
  <si>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</si>
  <si>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</si>
  <si>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</si>
  <si>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</si>
  <si>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original_discount</t>
  </si>
  <si>
    <t>cleaned_discount</t>
  </si>
  <si>
    <t>sales</t>
  </si>
  <si>
    <t>cost</t>
  </si>
  <si>
    <t>profit</t>
  </si>
  <si>
    <t>payment_status</t>
  </si>
  <si>
    <t>order_status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</si>
  <si>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</si>
  <si>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</si>
  <si>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</si>
  <si>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</si>
  <si>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</si>
  <si>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</si>
  <si>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</si>
  <si>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include_completed_sales</t>
  </si>
  <si>
    <t>issue_notes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</si>
  <si>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</si>
  <si>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</si>
  <si>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</si>
  <si>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</si>
  <si>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</si>
  <si>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</si>
  <si>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</si>
  <si>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</si>
  <si>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</si>
  <si>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</si>
  <si>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</si>
  <si>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</si>
  <si>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</si>
  <si>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Clean</t>
  </si>
  <si>
    <t>Yes</t>
  </si>
  <si>
    <t/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</si>
  <si>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</si>
  <si>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</si>
  <si>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</si>
  <si>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</si>
  <si>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</si>
  <si>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</si>
  <si>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</si>
  <si>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</si>
  <si>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</si>
  <si>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</si>
  <si>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</si>
  <si>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</si>
  <si>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</si>
  <si>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</si>
  <si>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</si>
  <si>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</si>
  <si>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</si>
  <si>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Invalid</t>
  </si>
  <si>
    <t>No</t>
  </si>
  <si>
    <t>Unusually high discount above 50%; Sales calculation mismatch; Profit calculation mismatch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</si>
  <si>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</si>
  <si>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</si>
  <si>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</si>
  <si>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</si>
  <si>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</si>
  <si>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</si>
  <si>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</si>
  <si>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</si>
  <si>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</si>
  <si>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</si>
  <si>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</si>
  <si>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</si>
  <si>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</si>
  <si>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</si>
  <si>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</si>
  <si>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</si>
  <si>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</si>
  <si>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</si>
  <si>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Warning</t>
  </si>
  <si>
    <t>Order status is 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</si>
  <si>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</si>
  <si>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</si>
  <si>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</si>
  <si>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</si>
  <si>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</si>
  <si>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</si>
  <si>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</si>
  <si>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</si>
  <si>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</si>
  <si>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</si>
  <si>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</si>
  <si>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</si>
  <si>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</si>
  <si>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</si>
  <si>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</si>
  <si>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</si>
  <si>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</si>
  <si>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</si>
  <si>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</si>
  <si>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</si>
  <si>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</si>
  <si>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</si>
  <si>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</si>
  <si>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</si>
  <si>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</si>
  <si>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</si>
  <si>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</si>
  <si>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</si>
  <si>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</si>
  <si>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</si>
  <si>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</si>
  <si>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</si>
  <si>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</si>
  <si>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</si>
  <si>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</si>
  <si>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Order status is Returned; Payment status is Refunded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</si>
  <si>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</si>
  <si>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</si>
  <si>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</si>
  <si>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</si>
  <si>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</si>
  <si>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</si>
  <si>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</si>
  <si>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</si>
  <si>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Order status is Returned; Payment status is 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</si>
  <si>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</si>
  <si>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</si>
  <si>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</si>
  <si>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</si>
  <si>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</si>
  <si>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</si>
  <si>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</si>
  <si>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</si>
  <si>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</si>
  <si>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</si>
  <si>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</si>
  <si>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</si>
  <si>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</si>
  <si>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</si>
  <si>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</si>
  <si>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</si>
  <si>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</si>
  <si>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</si>
  <si>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</si>
  <si>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</si>
  <si>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</si>
  <si>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</si>
  <si>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</si>
  <si>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</si>
  <si>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</si>
  <si>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</si>
  <si>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</si>
  <si>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Order status is Cancelled; Payment status is Refunded</t>
  </si>
  <si>
    <t>ORD-2024-10020</t>
  </si>
  <si>
    <t>CUST-3186</t>
  </si>
  <si>
    <t>Rohan Mehta</t>
  </si>
  <si>
    <t>Prime Storage 121</t>
  </si>
  <si>
    <t>Negative discount; Sales calculation mismatch; Profit calculation mismatch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</si>
  <si>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</si>
  <si>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</si>
  <si>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</si>
  <si>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</si>
  <si>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</si>
  <si>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</si>
  <si>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</si>
  <si>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</si>
  <si>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</si>
  <si>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</si>
  <si>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</si>
  <si>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</si>
  <si>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</si>
  <si>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Order status is Returned; Payment status is 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</si>
  <si>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</si>
  <si>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</si>
  <si>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</si>
  <si>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</si>
  <si>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</si>
  <si>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</si>
  <si>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</si>
  <si>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</si>
  <si>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Ship date before order date; Order status is Cancelled; Payment status is Pending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</si>
  <si>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</si>
  <si>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</si>
  <si>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</si>
  <si>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</si>
  <si>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</si>
  <si>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</si>
  <si>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</si>
  <si>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</si>
  <si>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</si>
  <si>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Order status is Returned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</si>
  <si>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</si>
  <si>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</si>
  <si>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</si>
  <si>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</si>
  <si>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</si>
  <si>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</si>
  <si>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</si>
  <si>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</si>
  <si>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</si>
  <si>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</si>
  <si>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</si>
  <si>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</si>
  <si>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</si>
  <si>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</si>
  <si>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</si>
  <si>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</si>
  <si>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</si>
  <si>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</si>
  <si>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</si>
  <si>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</si>
  <si>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</si>
  <si>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</si>
  <si>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</si>
  <si>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</si>
  <si>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</si>
  <si>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</si>
  <si>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Missing discount filled as 0; Sales calculation mismatch; Profit calculation mismatch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</si>
  <si>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</si>
  <si>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</si>
  <si>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</si>
  <si>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</si>
  <si>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</si>
  <si>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</si>
  <si>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</si>
  <si>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Profit calculation mismatch; Missing ship_mode filled as 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</si>
  <si>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</si>
  <si>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</si>
  <si>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</si>
  <si>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</si>
  <si>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</si>
  <si>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</si>
  <si>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</si>
  <si>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</si>
  <si>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</si>
  <si>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</si>
  <si>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</si>
  <si>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</si>
  <si>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</si>
  <si>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</si>
  <si>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</si>
  <si>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</si>
  <si>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</si>
  <si>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</si>
  <si>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</si>
  <si>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</si>
  <si>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</si>
  <si>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Order status is Cancelled; Payment status is Pending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</si>
  <si>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</si>
  <si>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</si>
  <si>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</si>
  <si>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</si>
  <si>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</si>
  <si>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</si>
  <si>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</si>
  <si>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</si>
  <si>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</si>
  <si>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</si>
  <si>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</si>
  <si>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</si>
  <si>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</si>
  <si>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</si>
  <si>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</si>
  <si>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</si>
  <si>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</si>
  <si>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</si>
  <si>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</si>
  <si>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</si>
  <si>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</si>
  <si>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</si>
  <si>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</si>
  <si>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</si>
  <si>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</si>
  <si>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</si>
  <si>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</si>
  <si>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</si>
  <si>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</si>
  <si>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</si>
  <si>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</si>
  <si>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</si>
  <si>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</si>
  <si>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</si>
  <si>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</si>
  <si>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</si>
  <si>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</si>
  <si>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</si>
  <si>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</si>
  <si>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</si>
  <si>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Order status is Cancelled; Payment status is Failed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</si>
  <si>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</si>
  <si>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</si>
  <si>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</si>
  <si>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</si>
  <si>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</si>
  <si>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</si>
  <si>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</si>
  <si>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</si>
  <si>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</si>
  <si>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</si>
  <si>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</si>
  <si>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</si>
  <si>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</si>
  <si>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</si>
  <si>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</si>
  <si>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</si>
  <si>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</si>
  <si>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</si>
  <si>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</si>
  <si>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Missing ship_mode filled as Unknown; Order status is Returned; Payment status is Pending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</si>
  <si>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</si>
  <si>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</si>
  <si>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</si>
  <si>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</si>
  <si>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</si>
  <si>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</si>
  <si>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</si>
  <si>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</si>
  <si>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</si>
  <si>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</si>
  <si>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</si>
  <si>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</si>
  <si>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</si>
  <si>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</si>
  <si>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</si>
  <si>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Profit calculation mismatch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</si>
  <si>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</si>
  <si>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</si>
  <si>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</si>
  <si>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</si>
  <si>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</si>
  <si>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</si>
  <si>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</si>
  <si>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</si>
  <si>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</si>
  <si>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</si>
  <si>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</si>
  <si>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</si>
  <si>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</si>
  <si>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</si>
  <si>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</si>
  <si>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</si>
  <si>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</si>
  <si>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</si>
  <si>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</si>
  <si>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</si>
  <si>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</si>
  <si>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</si>
  <si>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</si>
  <si>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</si>
  <si>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</si>
  <si>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</si>
  <si>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</si>
  <si>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Ship date before order date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</si>
  <si>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</si>
  <si>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</si>
  <si>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</si>
  <si>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</si>
  <si>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</si>
  <si>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</si>
  <si>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</si>
  <si>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</si>
  <si>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</si>
  <si>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</si>
  <si>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</si>
  <si>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</si>
  <si>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</si>
  <si>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</si>
  <si>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</si>
  <si>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</si>
  <si>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</si>
  <si>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</si>
  <si>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</si>
  <si>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</si>
  <si>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</si>
  <si>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</si>
  <si>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</si>
  <si>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</si>
  <si>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</si>
  <si>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</si>
  <si>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</si>
  <si>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</si>
  <si>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</si>
  <si>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</si>
  <si>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</si>
  <si>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</si>
  <si>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</si>
  <si>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</si>
  <si>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</si>
  <si>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</si>
  <si>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</si>
  <si>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</si>
  <si>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</si>
  <si>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</si>
  <si>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</si>
  <si>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</si>
  <si>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</si>
  <si>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</si>
  <si>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</si>
  <si>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</si>
  <si>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</si>
  <si>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</si>
  <si>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</si>
  <si>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</si>
  <si>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</si>
  <si>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</si>
  <si>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</si>
  <si>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</si>
  <si>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</si>
  <si>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</si>
  <si>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Conflicting duplicate order_id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</si>
  <si>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</si>
  <si>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</si>
  <si>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</si>
  <si>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</si>
  <si>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</si>
  <si>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</si>
  <si>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</si>
  <si>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</si>
  <si>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</si>
  <si>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</si>
  <si>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</si>
  <si>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</si>
  <si>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</si>
  <si>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</si>
  <si>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</si>
  <si>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</si>
  <si>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</si>
  <si>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</si>
  <si>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</si>
  <si>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</si>
  <si>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</si>
  <si>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</si>
  <si>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</si>
  <si>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</si>
  <si>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Missing ship_mode filled as Unknown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</si>
  <si>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</si>
  <si>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</si>
  <si>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</si>
  <si>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</si>
  <si>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</si>
  <si>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</si>
  <si>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</si>
  <si>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</si>
  <si>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</si>
  <si>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</si>
  <si>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</si>
  <si>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</si>
  <si>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</si>
  <si>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</si>
  <si>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</si>
  <si>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</si>
  <si>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</si>
  <si>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</si>
  <si>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Sales calculation mismatch; Order status is Cancelled</t>
  </si>
  <si>
    <t>ORD-2024-10106</t>
  </si>
  <si>
    <t>CUST-6540</t>
  </si>
  <si>
    <t>Eco Tables 575</t>
  </si>
  <si>
    <t>ORD-2024-10107</t>
  </si>
  <si>
    <t>CUST-4008</t>
  </si>
  <si>
    <t>Eco Paper 918</t>
  </si>
  <si>
    <t>Missing discount filled as 0; Sales calculation mismatch; Profit calculation mismatch; Order status is Cancelled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</si>
  <si>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</si>
  <si>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</si>
  <si>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</si>
  <si>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</si>
  <si>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</si>
  <si>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</si>
  <si>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</si>
  <si>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</si>
  <si>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</si>
  <si>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</si>
  <si>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</si>
  <si>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</si>
  <si>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</si>
  <si>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</si>
  <si>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</si>
  <si>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</si>
  <si>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</si>
  <si>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</si>
  <si>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Missing region filled as Unknown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</si>
  <si>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</si>
  <si>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</si>
  <si>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</si>
  <si>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</si>
  <si>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</si>
  <si>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</si>
  <si>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</si>
  <si>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</si>
  <si>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</si>
  <si>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</si>
  <si>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</si>
  <si>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Missing region filled as Unknown; Order status is Cancelled; Payment status is Failed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</si>
  <si>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</si>
  <si>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</si>
  <si>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</si>
  <si>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</si>
  <si>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</si>
  <si>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</si>
  <si>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</si>
  <si>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</si>
  <si>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</si>
  <si>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</si>
  <si>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</si>
  <si>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</si>
  <si>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</si>
  <si>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</si>
  <si>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</si>
  <si>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</si>
  <si>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</si>
  <si>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</si>
  <si>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</si>
  <si>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</si>
  <si>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</si>
  <si>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Order status is Cancelled; Payment status is Refunded; Conflicting duplicate order_id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</si>
  <si>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</si>
  <si>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</si>
  <si>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</si>
  <si>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</si>
  <si>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</si>
  <si>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</si>
  <si>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</si>
  <si>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</si>
  <si>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</si>
  <si>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</si>
  <si>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</si>
  <si>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</si>
  <si>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</si>
  <si>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</si>
  <si>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</si>
  <si>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</si>
  <si>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</si>
  <si>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</si>
  <si>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</si>
  <si>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</si>
  <si>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</si>
  <si>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</si>
  <si>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</si>
  <si>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</si>
  <si>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</si>
  <si>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</si>
  <si>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</si>
  <si>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</si>
  <si>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</si>
  <si>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</si>
  <si>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</si>
  <si>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</si>
  <si>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</si>
  <si>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Missing ship_mode filled as Unknown; Order status is Cancelled; Payment status is Pending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</si>
  <si>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</si>
  <si>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</si>
  <si>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</si>
  <si>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</si>
  <si>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</si>
  <si>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</si>
  <si>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</si>
  <si>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</si>
  <si>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</si>
  <si>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</si>
  <si>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</si>
  <si>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</si>
  <si>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</si>
  <si>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</si>
  <si>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</si>
  <si>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</si>
  <si>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</si>
  <si>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</si>
  <si>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</si>
  <si>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</si>
  <si>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</si>
  <si>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</si>
  <si>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</si>
  <si>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</si>
  <si>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Ship date before order date; Conflicting duplicate order_id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</si>
  <si>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</si>
  <si>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</si>
  <si>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</si>
  <si>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</si>
  <si>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</si>
  <si>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</si>
  <si>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</si>
  <si>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</si>
  <si>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</si>
  <si>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</si>
  <si>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</si>
  <si>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</si>
  <si>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</si>
  <si>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</si>
  <si>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</si>
  <si>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</si>
  <si>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</si>
  <si>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</si>
  <si>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</si>
  <si>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</si>
  <si>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</si>
  <si>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</si>
  <si>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</si>
  <si>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</si>
  <si>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</si>
  <si>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</si>
  <si>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</si>
  <si>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Missing region filled as Unknown; Order status is Returned; Payment status is Pending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</si>
  <si>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</si>
  <si>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</si>
  <si>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</si>
  <si>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</si>
  <si>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</si>
  <si>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</si>
  <si>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</si>
  <si>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</si>
  <si>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</si>
  <si>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</si>
  <si>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</si>
  <si>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</si>
  <si>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</si>
  <si>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</si>
  <si>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</si>
  <si>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</si>
  <si>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</si>
  <si>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</si>
  <si>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</si>
  <si>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</si>
  <si>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</si>
  <si>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</si>
  <si>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</si>
  <si>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</si>
  <si>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</si>
  <si>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</si>
  <si>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</si>
  <si>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</si>
  <si>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</si>
  <si>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</si>
  <si>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</si>
  <si>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</si>
  <si>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Sales calculation mismatch; Order status is Returned; Payment status is Pending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</si>
  <si>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</si>
  <si>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</si>
  <si>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</si>
  <si>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</si>
  <si>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</si>
  <si>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</si>
  <si>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</si>
  <si>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</si>
  <si>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</si>
  <si>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</si>
  <si>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</si>
  <si>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</si>
  <si>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</si>
  <si>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</si>
  <si>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</si>
  <si>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</si>
  <si>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</si>
  <si>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</si>
  <si>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</si>
  <si>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</si>
  <si>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</si>
  <si>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</si>
  <si>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</si>
  <si>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</si>
  <si>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</si>
  <si>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</si>
  <si>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</si>
  <si>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</si>
  <si>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</si>
  <si>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</si>
  <si>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</si>
  <si>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</si>
  <si>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</si>
  <si>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</si>
  <si>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</si>
  <si>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</si>
  <si>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</si>
  <si>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</si>
  <si>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</si>
  <si>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</si>
  <si>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</si>
  <si>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</si>
  <si>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</si>
  <si>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</si>
  <si>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</si>
  <si>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</si>
  <si>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</si>
  <si>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</si>
  <si>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</si>
  <si>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</si>
  <si>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</si>
  <si>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</si>
  <si>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</si>
  <si>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</si>
  <si>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</si>
  <si>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</si>
  <si>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</si>
  <si>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</si>
  <si>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</si>
  <si>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</si>
  <si>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</si>
  <si>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</si>
  <si>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</si>
  <si>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</si>
  <si>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</si>
  <si>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</si>
  <si>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</si>
  <si>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</si>
  <si>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</si>
  <si>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</si>
  <si>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</si>
  <si>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</si>
  <si>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</si>
  <si>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</si>
  <si>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</si>
  <si>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</si>
  <si>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</si>
  <si>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Sales calculation mismatch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</si>
  <si>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</si>
  <si>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</si>
  <si>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</si>
  <si>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</si>
  <si>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</si>
  <si>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</si>
  <si>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</si>
  <si>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</si>
  <si>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</si>
  <si>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</si>
  <si>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</si>
  <si>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</si>
  <si>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</si>
  <si>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</si>
  <si>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</si>
  <si>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</si>
  <si>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</si>
  <si>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</si>
  <si>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</si>
  <si>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</si>
  <si>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</si>
  <si>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</si>
  <si>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</si>
  <si>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</si>
  <si>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</si>
  <si>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</si>
  <si>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</si>
  <si>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</si>
  <si>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</si>
  <si>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</si>
  <si>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</si>
  <si>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</si>
  <si>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</si>
  <si>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</si>
  <si>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</si>
  <si>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</si>
  <si>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</si>
  <si>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</si>
  <si>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Negative discount; Sales calculation mismatch; Profit calculation mismatch; Order status is Cancelled; Payment status is Refunded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</si>
  <si>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</si>
  <si>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</si>
  <si>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</si>
  <si>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</si>
  <si>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</si>
  <si>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</si>
  <si>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</si>
  <si>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</si>
  <si>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</si>
  <si>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</si>
  <si>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</si>
  <si>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</si>
  <si>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</si>
  <si>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</si>
  <si>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</si>
  <si>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</si>
  <si>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</si>
  <si>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</si>
  <si>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</si>
  <si>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</si>
  <si>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</si>
  <si>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</si>
  <si>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</si>
  <si>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</si>
  <si>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</si>
  <si>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</si>
  <si>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</si>
  <si>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</si>
  <si>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</si>
  <si>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</si>
  <si>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</si>
  <si>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</si>
  <si>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</si>
  <si>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</si>
  <si>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</si>
  <si>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</si>
  <si>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</si>
  <si>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</si>
  <si>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</si>
  <si>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</si>
  <si>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</si>
  <si>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</si>
  <si>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</si>
  <si>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</si>
  <si>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</si>
  <si>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</si>
  <si>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</si>
  <si>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</si>
  <si>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</si>
  <si>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</si>
  <si>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</si>
  <si>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</si>
  <si>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</si>
  <si>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</si>
  <si>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Missing discount filled as 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</si>
  <si>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</si>
  <si>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</si>
  <si>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</si>
  <si>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</si>
  <si>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</si>
  <si>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</si>
  <si>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</si>
  <si>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</si>
  <si>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</si>
  <si>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</si>
  <si>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</si>
  <si>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</si>
  <si>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</si>
  <si>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</si>
  <si>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</si>
  <si>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Order status is Cancelled; Conflicting duplicate order_id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</si>
  <si>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</si>
  <si>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</si>
  <si>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</si>
  <si>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</si>
  <si>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</si>
  <si>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</si>
  <si>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</si>
  <si>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</si>
  <si>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</si>
  <si>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</si>
  <si>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</si>
  <si>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</si>
  <si>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</si>
  <si>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</si>
  <si>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</si>
  <si>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</si>
  <si>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</si>
  <si>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</si>
  <si>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</si>
  <si>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</si>
  <si>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</si>
  <si>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</si>
  <si>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</si>
  <si>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</si>
  <si>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</si>
  <si>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</si>
  <si>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</si>
  <si>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</si>
  <si>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</si>
  <si>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</si>
  <si>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</si>
  <si>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</si>
  <si>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</si>
  <si>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</si>
  <si>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</si>
  <si>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</si>
  <si>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</si>
  <si>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</si>
  <si>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</si>
  <si>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</si>
  <si>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</si>
  <si>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</si>
  <si>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</si>
  <si>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</si>
  <si>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</si>
  <si>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</si>
  <si>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</si>
  <si>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</si>
  <si>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</si>
  <si>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</si>
  <si>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</si>
  <si>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</si>
  <si>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</si>
  <si>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</si>
  <si>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</si>
  <si>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</si>
  <si>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</si>
  <si>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</si>
  <si>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</si>
  <si>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</si>
  <si>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</si>
  <si>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</si>
  <si>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</si>
  <si>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</si>
  <si>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</si>
  <si>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</si>
  <si>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</si>
  <si>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</si>
  <si>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</si>
  <si>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</si>
  <si>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</si>
  <si>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</si>
  <si>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</si>
  <si>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</si>
  <si>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</si>
  <si>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</si>
  <si>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</si>
  <si>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</si>
  <si>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</si>
  <si>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</si>
  <si>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</si>
  <si>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</si>
  <si>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</si>
  <si>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</si>
  <si>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</si>
  <si>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</si>
  <si>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</si>
  <si>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Profit calculation mismatch; Order status is Cancelled; Payment status is Refunded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</si>
  <si>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</si>
  <si>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</si>
  <si>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</si>
  <si>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</si>
  <si>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</si>
  <si>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</si>
  <si>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</si>
  <si>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</si>
  <si>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</si>
  <si>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</si>
  <si>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</si>
  <si>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</si>
  <si>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</si>
  <si>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</si>
  <si>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</si>
  <si>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</si>
  <si>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</si>
  <si>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</si>
  <si>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</si>
  <si>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</si>
  <si>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</si>
  <si>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</si>
  <si>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</si>
  <si>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</si>
  <si>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</si>
  <si>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</si>
  <si>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</si>
  <si>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</si>
  <si>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</si>
  <si>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</si>
  <si>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</si>
  <si>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</si>
  <si>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</si>
  <si>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</si>
  <si>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</si>
  <si>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</si>
  <si>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</si>
  <si>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</si>
  <si>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</si>
  <si>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</si>
  <si>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</si>
  <si>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</si>
  <si>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</si>
  <si>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</si>
  <si>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</si>
  <si>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</si>
  <si>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</si>
  <si>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</si>
  <si>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</si>
  <si>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</si>
  <si>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</si>
  <si>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</si>
  <si>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</si>
  <si>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</si>
  <si>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</si>
  <si>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</si>
  <si>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Profit calculation mismatch; Conflicting duplicate order_id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</si>
  <si>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</si>
  <si>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</si>
  <si>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</si>
  <si>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</si>
  <si>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</si>
  <si>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</si>
  <si>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</si>
  <si>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</si>
  <si>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</si>
  <si>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</si>
  <si>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</si>
  <si>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</si>
  <si>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Negative discount; Sales calculation mismatch; Profit calculation mismatch; Missing region filled as Unknown</t>
  </si>
  <si>
    <t>ORD-2025-10278</t>
  </si>
  <si>
    <t>Elite Accessories 291</t>
  </si>
  <si>
    <t>Sales calculation mismatch; Order status is Cancelled; Payment status is Pending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</si>
  <si>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</si>
  <si>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</si>
  <si>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</si>
  <si>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</si>
  <si>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</si>
  <si>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</si>
  <si>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</si>
  <si>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</si>
  <si>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</si>
  <si>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</si>
  <si>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</si>
  <si>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</si>
  <si>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</si>
  <si>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</si>
  <si>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</si>
  <si>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</si>
  <si>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</si>
  <si>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</si>
  <si>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</si>
  <si>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</si>
  <si>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</si>
  <si>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</si>
  <si>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</si>
  <si>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</si>
  <si>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</si>
  <si>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</si>
  <si>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</si>
  <si>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</si>
  <si>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</si>
  <si>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</si>
  <si>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</si>
  <si>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</si>
  <si>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</si>
  <si>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</si>
  <si>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</si>
  <si>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</si>
  <si>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</si>
  <si>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</si>
  <si>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</si>
  <si>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</si>
  <si>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</si>
  <si>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</si>
  <si>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</si>
  <si>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</si>
  <si>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</si>
  <si>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</si>
  <si>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</si>
  <si>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</si>
  <si>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</si>
  <si>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</si>
  <si>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</si>
  <si>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</si>
  <si>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</si>
  <si>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</si>
  <si>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</si>
  <si>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</si>
  <si>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</si>
  <si>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</si>
  <si>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</si>
  <si>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</si>
  <si>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</si>
  <si>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</si>
  <si>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</si>
  <si>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</si>
  <si>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</si>
  <si>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</si>
  <si>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</si>
  <si>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</si>
  <si>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</si>
  <si>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</si>
  <si>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</si>
  <si>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</si>
  <si>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</si>
  <si>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</si>
  <si>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</si>
  <si>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</si>
  <si>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</si>
  <si>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</si>
  <si>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</si>
  <si>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</si>
  <si>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</si>
  <si>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</si>
  <si>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</si>
  <si>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</si>
  <si>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Unusually high discount above 50%; Sales calculation mismatch; Profit calculation mismatch; Order status is Cancelled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</si>
  <si>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</si>
  <si>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</si>
  <si>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</si>
  <si>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</si>
  <si>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</si>
  <si>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</si>
  <si>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</si>
  <si>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</si>
  <si>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</si>
  <si>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</si>
  <si>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</si>
  <si>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</si>
  <si>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</si>
  <si>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</si>
  <si>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</si>
  <si>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</si>
  <si>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</si>
  <si>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</si>
  <si>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</si>
  <si>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</si>
  <si>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</si>
  <si>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</si>
  <si>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</si>
  <si>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</si>
  <si>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</si>
  <si>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</si>
  <si>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</si>
  <si>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Order status is Returned; Payment status is Failed; Conflicting duplicate order_id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</si>
  <si>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</si>
  <si>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</si>
  <si>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</si>
  <si>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</si>
  <si>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</si>
  <si>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</si>
  <si>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</si>
  <si>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</si>
  <si>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</si>
  <si>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</si>
  <si>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</si>
  <si>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</si>
  <si>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</si>
  <si>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</si>
  <si>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</si>
  <si>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</si>
  <si>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</si>
  <si>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</si>
  <si>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Missing discount filled as 0; Order status is Returned; Payment status is Pending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</si>
  <si>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</si>
  <si>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</si>
  <si>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</si>
  <si>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</si>
  <si>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</si>
  <si>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</si>
  <si>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</si>
  <si>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</si>
  <si>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</si>
  <si>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</si>
  <si>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</si>
  <si>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</si>
  <si>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</si>
  <si>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</si>
  <si>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</si>
  <si>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</si>
  <si>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</si>
  <si>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</si>
  <si>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</si>
  <si>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</si>
  <si>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</si>
  <si>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</si>
  <si>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</si>
  <si>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</si>
  <si>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</si>
  <si>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</si>
  <si>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</si>
  <si>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</si>
  <si>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</si>
  <si>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</si>
  <si>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</si>
  <si>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</si>
  <si>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Order status is Returned; Conflicting duplicate order_id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</si>
  <si>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</si>
  <si>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</si>
  <si>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</si>
  <si>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</si>
  <si>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</si>
  <si>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</si>
  <si>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</si>
  <si>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</si>
  <si>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</si>
  <si>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</si>
  <si>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</si>
  <si>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</si>
  <si>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</si>
  <si>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</si>
  <si>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</si>
  <si>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</si>
  <si>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</si>
  <si>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</si>
  <si>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</si>
  <si>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</si>
  <si>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</si>
  <si>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</si>
  <si>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</si>
  <si>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</si>
  <si>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</si>
  <si>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</si>
  <si>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</si>
  <si>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</si>
  <si>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</si>
  <si>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</si>
  <si>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</si>
  <si>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</si>
  <si>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</si>
  <si>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</si>
  <si>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</si>
  <si>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</si>
  <si>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</si>
  <si>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</si>
  <si>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</si>
  <si>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</si>
  <si>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</si>
  <si>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</si>
  <si>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</si>
  <si>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</si>
  <si>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</si>
  <si>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</si>
  <si>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</si>
  <si>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</si>
  <si>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</si>
  <si>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</si>
  <si>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</si>
  <si>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</si>
  <si>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</si>
  <si>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</si>
  <si>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</si>
  <si>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</si>
  <si>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</si>
  <si>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</si>
  <si>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</si>
  <si>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</si>
  <si>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</si>
  <si>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</si>
  <si>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</si>
  <si>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</si>
  <si>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</si>
  <si>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</si>
  <si>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</si>
  <si>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</si>
  <si>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Negative discount; Sales calculation mismatch; Profit calculation mismatch; Order status is Cancelled; Payment status is Pending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</si>
  <si>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</si>
  <si>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</si>
  <si>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</si>
  <si>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</si>
  <si>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</si>
  <si>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</si>
  <si>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</si>
  <si>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</si>
  <si>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</si>
  <si>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</si>
  <si>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</si>
  <si>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</si>
  <si>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Ship date before order date; Order status is Returned; Payment status is Pending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</si>
  <si>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</si>
  <si>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</si>
  <si>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</si>
  <si>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</si>
  <si>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</si>
  <si>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</si>
  <si>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</si>
  <si>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</si>
  <si>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</si>
  <si>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</si>
  <si>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</si>
  <si>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</si>
  <si>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</si>
  <si>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</si>
  <si>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</si>
  <si>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</si>
  <si>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</si>
  <si>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</si>
  <si>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</si>
  <si>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</si>
  <si>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</si>
  <si>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</si>
  <si>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</si>
  <si>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</si>
  <si>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</si>
  <si>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</si>
  <si>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</si>
  <si>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</si>
  <si>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</si>
  <si>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</si>
  <si>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</si>
  <si>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</si>
  <si>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</si>
  <si>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</si>
  <si>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</si>
  <si>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</si>
  <si>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</si>
  <si>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</si>
  <si>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</si>
  <si>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Missing discount filled as 0; Sales calculation mismatch; Profit calculation mismatch; Order status is Cancelled; Payment status is Refunded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</si>
  <si>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</si>
  <si>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</si>
  <si>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</si>
  <si>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</si>
  <si>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</si>
  <si>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</si>
  <si>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</si>
  <si>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</si>
  <si>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</si>
  <si>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</si>
  <si>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</si>
  <si>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</si>
  <si>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</si>
  <si>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</si>
  <si>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</si>
  <si>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</si>
  <si>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</si>
  <si>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</si>
  <si>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</si>
  <si>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</si>
  <si>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</si>
  <si>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</si>
  <si>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</si>
  <si>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</si>
  <si>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</si>
  <si>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</si>
  <si>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</si>
  <si>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</si>
  <si>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</si>
  <si>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</si>
  <si>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</si>
  <si>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</si>
  <si>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</si>
  <si>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</si>
  <si>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</si>
  <si>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</si>
  <si>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</si>
  <si>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</si>
  <si>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</si>
  <si>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</si>
  <si>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</si>
  <si>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</si>
  <si>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</si>
  <si>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</si>
  <si>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</si>
  <si>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</si>
  <si>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</si>
  <si>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</si>
  <si>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</si>
  <si>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</si>
  <si>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</si>
  <si>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</si>
  <si>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</si>
  <si>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</si>
  <si>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</si>
  <si>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</si>
  <si>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</si>
  <si>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</si>
  <si>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</si>
  <si>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</si>
  <si>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</si>
  <si>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</si>
  <si>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</si>
  <si>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</si>
  <si>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</si>
  <si>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</si>
  <si>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</si>
  <si>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</si>
  <si>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</si>
  <si>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</si>
  <si>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</si>
  <si>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</si>
  <si>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</si>
  <si>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</si>
  <si>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</si>
  <si>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</si>
  <si>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</si>
  <si>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</si>
  <si>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</si>
  <si>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</si>
  <si>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</si>
  <si>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</si>
  <si>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</si>
  <si>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</si>
  <si>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</si>
  <si>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</si>
  <si>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</si>
  <si>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</si>
  <si>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</si>
  <si>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</si>
  <si>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</si>
  <si>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</si>
  <si>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</si>
  <si>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</si>
  <si>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</si>
  <si>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</si>
  <si>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</si>
  <si>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</si>
  <si>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</si>
  <si>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</si>
  <si>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</si>
  <si>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</si>
  <si>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</si>
  <si>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</si>
  <si>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</si>
  <si>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</si>
  <si>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</si>
  <si>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</si>
  <si>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</si>
  <si>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</si>
  <si>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</si>
  <si>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</si>
  <si>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</si>
  <si>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</si>
  <si>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</si>
  <si>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</si>
  <si>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</si>
  <si>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</si>
  <si>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</si>
  <si>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</si>
  <si>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</si>
  <si>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</si>
  <si>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</si>
  <si>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</si>
  <si>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</si>
  <si>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</si>
  <si>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</si>
  <si>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</si>
  <si>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</si>
  <si>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</si>
  <si>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</si>
  <si>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</si>
  <si>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</si>
  <si>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</si>
  <si>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</si>
  <si>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</si>
  <si>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</si>
  <si>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</si>
  <si>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</si>
  <si>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</si>
  <si>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</si>
  <si>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</si>
  <si>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</si>
  <si>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</si>
  <si>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</si>
  <si>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</si>
  <si>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</si>
  <si>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</si>
  <si>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</si>
  <si>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</si>
  <si>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</si>
  <si>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</si>
  <si>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</si>
  <si>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</si>
  <si>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</si>
  <si>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</si>
  <si>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</si>
  <si>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</si>
  <si>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</si>
  <si>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</si>
  <si>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</si>
  <si>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</si>
  <si>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</si>
  <si>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</si>
  <si>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</si>
  <si>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</si>
  <si>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</si>
  <si>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</si>
  <si>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</si>
  <si>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</si>
  <si>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</si>
  <si>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</si>
  <si>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</si>
  <si>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</si>
  <si>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</si>
  <si>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</si>
  <si>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</si>
  <si>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</si>
  <si>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</si>
  <si>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</si>
  <si>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</si>
  <si>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</si>
  <si>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</si>
  <si>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</si>
  <si>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</si>
  <si>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</si>
  <si>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</si>
  <si>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</si>
  <si>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</si>
  <si>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</si>
  <si>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</si>
  <si>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</si>
  <si>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</si>
  <si>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</si>
  <si>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</si>
  <si>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</si>
  <si>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</si>
  <si>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</si>
  <si>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</si>
  <si>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</si>
  <si>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</si>
  <si>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</si>
  <si>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</si>
  <si>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</si>
  <si>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</si>
  <si>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</si>
  <si>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</si>
  <si>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</si>
  <si>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</si>
  <si>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</si>
  <si>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</si>
  <si>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</si>
  <si>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</si>
  <si>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</si>
  <si>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</si>
  <si>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</si>
  <si>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</si>
  <si>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</si>
  <si>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</si>
  <si>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</si>
  <si>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</si>
  <si>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</si>
  <si>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</si>
  <si>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</si>
  <si>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</si>
  <si>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</si>
  <si>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</si>
  <si>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</si>
  <si>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</si>
  <si>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</si>
  <si>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</si>
  <si>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</si>
  <si>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</si>
  <si>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</si>
  <si>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</si>
  <si>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</si>
  <si>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</si>
  <si>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</si>
  <si>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</si>
  <si>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</si>
  <si>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</si>
  <si>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</si>
  <si>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</si>
  <si>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</si>
  <si>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</si>
  <si>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</si>
  <si>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</si>
  <si>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</si>
  <si>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</si>
  <si>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</si>
  <si>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</si>
  <si>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</si>
  <si>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</si>
  <si>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</si>
  <si>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</si>
  <si>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</si>
  <si>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</si>
  <si>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</si>
  <si>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</si>
  <si>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</si>
  <si>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</si>
  <si>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</si>
  <si>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</si>
  <si>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</si>
  <si>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</si>
  <si>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</si>
  <si>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</si>
  <si>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</si>
  <si>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</si>
  <si>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</si>
  <si>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</si>
  <si>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</si>
  <si>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</si>
  <si>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</si>
  <si>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</si>
  <si>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</si>
  <si>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</si>
  <si>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</si>
  <si>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</si>
  <si>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</si>
  <si>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</si>
  <si>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</si>
  <si>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</si>
  <si>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</si>
  <si>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</si>
  <si>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</si>
  <si>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</si>
  <si>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</si>
  <si>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</si>
  <si>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</si>
  <si>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</si>
  <si>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</si>
  <si>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</si>
  <si>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</si>
  <si>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</si>
  <si>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</si>
  <si>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</si>
  <si>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</si>
  <si>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</si>
  <si>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</si>
  <si>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</si>
  <si>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</si>
  <si>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</si>
  <si>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</si>
  <si>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</si>
  <si>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</si>
  <si>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</si>
  <si>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</si>
  <si>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</si>
  <si>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</si>
  <si>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</si>
  <si>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</si>
  <si>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</si>
  <si>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</si>
  <si>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</si>
  <si>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</si>
  <si>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</si>
  <si>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Missing region filled as Unknown; Order status is Returned; Payment status is Refunded</t>
  </si>
  <si>
    <t>ORD-2024-10480</t>
  </si>
  <si>
    <t>CUST-7520</t>
  </si>
  <si>
    <t>Max Chairs 594</t>
  </si>
  <si>
    <t>Ship date before order date; Missing discount filled as 0; Sales calculation mismatch; Profit calculation mismatch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</si>
  <si>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</si>
  <si>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</si>
  <si>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</si>
  <si>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</si>
  <si>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</si>
  <si>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</si>
  <si>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</si>
  <si>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</si>
  <si>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</si>
  <si>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</si>
  <si>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</si>
  <si>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</si>
  <si>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</si>
  <si>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</si>
  <si>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</si>
  <si>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</si>
  <si>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</si>
  <si>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</si>
  <si>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</si>
  <si>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</si>
  <si>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</si>
  <si>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</si>
  <si>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</si>
  <si>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</si>
  <si>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</si>
  <si>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</si>
  <si>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</si>
  <si>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</si>
  <si>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</si>
  <si>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</si>
  <si>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</si>
  <si>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</si>
  <si>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</si>
  <si>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</si>
  <si>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</si>
  <si>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</si>
  <si>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</si>
  <si>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</si>
  <si>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</si>
  <si>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</si>
  <si>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</si>
  <si>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</si>
  <si>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</si>
  <si>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</si>
  <si>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</si>
  <si>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Negative discount; Sales calculation mismatch; Profit calculation mismatch; Order status is Cancelled; Payment status is Failed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</si>
  <si>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</si>
  <si>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</si>
  <si>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</si>
  <si>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</si>
  <si>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</si>
  <si>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</si>
  <si>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</si>
  <si>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</si>
  <si>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</si>
  <si>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</si>
  <si>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</si>
  <si>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</si>
  <si>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</si>
  <si>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</si>
  <si>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</si>
  <si>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</si>
  <si>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</si>
  <si>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</si>
  <si>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</si>
  <si>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</si>
  <si>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</si>
  <si>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</si>
  <si>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</si>
  <si>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</si>
  <si>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</si>
  <si>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</si>
  <si>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</si>
  <si>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</si>
  <si>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</si>
  <si>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</si>
  <si>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</si>
  <si>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</si>
  <si>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</si>
  <si>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</si>
  <si>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</si>
  <si>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</si>
  <si>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</si>
  <si>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</si>
  <si>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</si>
  <si>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</si>
  <si>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</si>
  <si>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</si>
  <si>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</si>
  <si>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</si>
  <si>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</si>
  <si>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</si>
  <si>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</si>
  <si>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</si>
  <si>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</si>
  <si>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</si>
  <si>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</si>
  <si>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</si>
  <si>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</si>
  <si>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</si>
  <si>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</si>
  <si>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</si>
  <si>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</si>
  <si>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</si>
  <si>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</si>
  <si>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</si>
  <si>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</si>
  <si>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</si>
  <si>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</si>
  <si>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</si>
  <si>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</si>
  <si>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</si>
  <si>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</si>
  <si>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</si>
  <si>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</si>
  <si>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</si>
  <si>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Ship date before order date; Order status is Cancelled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</si>
  <si>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</si>
  <si>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</si>
  <si>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</si>
  <si>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</si>
  <si>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</si>
  <si>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</si>
  <si>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</si>
  <si>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</si>
  <si>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</si>
  <si>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</si>
  <si>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</si>
  <si>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</si>
  <si>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</si>
  <si>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</si>
  <si>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</si>
  <si>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</si>
  <si>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</si>
  <si>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</si>
  <si>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</si>
  <si>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</si>
  <si>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</si>
  <si>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</si>
  <si>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</si>
  <si>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</si>
  <si>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</si>
  <si>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</si>
  <si>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</si>
  <si>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</si>
  <si>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</si>
  <si>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</si>
  <si>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</si>
  <si>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</si>
  <si>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</si>
  <si>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</si>
  <si>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</si>
  <si>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</si>
  <si>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</si>
  <si>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</si>
  <si>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</si>
  <si>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</si>
  <si>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</si>
  <si>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</si>
  <si>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</si>
  <si>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</si>
  <si>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</si>
  <si>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</si>
  <si>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</si>
  <si>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</si>
  <si>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</si>
  <si>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</si>
  <si>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</si>
  <si>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</si>
  <si>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</si>
  <si>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</si>
  <si>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</si>
  <si>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</si>
  <si>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</si>
  <si>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</si>
  <si>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</si>
  <si>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</si>
  <si>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</si>
  <si>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</si>
  <si>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</si>
  <si>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</si>
  <si>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</si>
  <si>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</si>
  <si>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</si>
  <si>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</si>
  <si>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</si>
  <si>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</si>
  <si>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</si>
  <si>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</si>
  <si>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</si>
  <si>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</si>
  <si>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</si>
  <si>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</si>
  <si>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</si>
  <si>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</si>
  <si>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</si>
  <si>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</si>
  <si>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</si>
  <si>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</si>
  <si>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</si>
  <si>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</si>
  <si>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</si>
  <si>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</si>
  <si>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</si>
  <si>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</si>
  <si>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</si>
  <si>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</si>
  <si>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</si>
  <si>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</si>
  <si>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</si>
  <si>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</si>
  <si>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</si>
  <si>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</si>
  <si>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</si>
  <si>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</si>
  <si>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</si>
  <si>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</si>
  <si>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</si>
  <si>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</si>
  <si>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</si>
  <si>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</si>
  <si>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</si>
  <si>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</si>
  <si>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</si>
  <si>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</si>
  <si>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</si>
  <si>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</si>
  <si>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</si>
  <si>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</si>
  <si>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</si>
  <si>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Profit calculation mismatch; Order status is Returned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</si>
  <si>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</si>
  <si>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</si>
  <si>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</si>
  <si>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</si>
  <si>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</si>
  <si>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</si>
  <si>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</si>
  <si>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</si>
  <si>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</si>
  <si>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</si>
  <si>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</si>
  <si>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</si>
  <si>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</si>
  <si>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</si>
  <si>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</si>
  <si>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</si>
  <si>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</si>
  <si>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</si>
  <si>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</si>
  <si>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</si>
  <si>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</si>
  <si>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</si>
  <si>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</si>
  <si>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</si>
  <si>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</si>
  <si>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</si>
  <si>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</si>
  <si>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</si>
  <si>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</si>
  <si>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</si>
  <si>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</si>
  <si>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</si>
  <si>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</si>
  <si>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</si>
  <si>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</si>
  <si>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</si>
  <si>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</si>
  <si>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</si>
  <si>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</si>
  <si>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</si>
  <si>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</si>
  <si>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</si>
  <si>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</si>
  <si>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</si>
  <si>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Missing ship_mode filled as Unknown; Order status is Returned; Payment status is Failed; Conflicting duplicate order_id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</si>
  <si>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</si>
  <si>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</si>
  <si>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</si>
  <si>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</si>
  <si>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</si>
  <si>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</si>
  <si>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</si>
  <si>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</si>
  <si>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</si>
  <si>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</si>
  <si>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</si>
  <si>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</si>
  <si>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</si>
  <si>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</si>
  <si>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</si>
  <si>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</si>
  <si>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</si>
  <si>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</si>
  <si>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</si>
  <si>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</si>
  <si>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</si>
  <si>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</si>
  <si>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</si>
  <si>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</si>
  <si>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</si>
  <si>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</si>
  <si>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</si>
  <si>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</si>
  <si>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</si>
  <si>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</si>
  <si>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</si>
  <si>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</si>
  <si>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</si>
  <si>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</si>
  <si>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</si>
  <si>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</si>
  <si>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</si>
  <si>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</si>
  <si>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</si>
  <si>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</si>
  <si>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</si>
  <si>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</si>
  <si>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</si>
  <si>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</si>
  <si>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</si>
  <si>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</si>
  <si>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</si>
  <si>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</si>
  <si>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</si>
  <si>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</si>
  <si>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</si>
  <si>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</si>
  <si>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</si>
  <si>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</si>
  <si>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</si>
  <si>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</si>
  <si>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</si>
  <si>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</si>
  <si>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</si>
  <si>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</si>
  <si>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</si>
  <si>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</si>
  <si>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</si>
  <si>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</si>
  <si>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</si>
  <si>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</si>
  <si>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</si>
  <si>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</si>
  <si>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</si>
  <si>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</si>
  <si>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</si>
  <si>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</si>
  <si>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</si>
  <si>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</si>
  <si>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</si>
  <si>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</si>
  <si>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</si>
  <si>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</si>
  <si>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</si>
  <si>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</si>
  <si>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</si>
  <si>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</si>
  <si>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</si>
  <si>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</si>
  <si>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</si>
  <si>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</si>
  <si>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</si>
  <si>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</si>
  <si>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</si>
  <si>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</si>
  <si>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</si>
  <si>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</si>
  <si>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</si>
  <si>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</si>
  <si>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</si>
  <si>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</si>
  <si>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</si>
  <si>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</si>
  <si>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</si>
  <si>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</si>
  <si>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</si>
  <si>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</si>
  <si>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</si>
  <si>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</si>
  <si>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</si>
  <si>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</si>
  <si>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</si>
  <si>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</si>
  <si>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</si>
  <si>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</si>
  <si>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</si>
  <si>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</si>
  <si>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</si>
  <si>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</si>
  <si>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</si>
  <si>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</si>
  <si>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</si>
  <si>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</si>
  <si>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</si>
  <si>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</si>
  <si>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</si>
  <si>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</si>
  <si>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</si>
  <si>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</si>
  <si>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</si>
  <si>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</si>
  <si>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</si>
  <si>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</si>
  <si>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</si>
  <si>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</si>
  <si>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</si>
  <si>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</si>
  <si>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</si>
  <si>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</si>
  <si>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</si>
  <si>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</si>
  <si>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</si>
  <si>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</si>
  <si>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</si>
  <si>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</si>
  <si>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</si>
  <si>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</si>
  <si>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</si>
  <si>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</si>
  <si>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</si>
  <si>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</si>
  <si>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</si>
  <si>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</si>
  <si>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</si>
  <si>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</si>
  <si>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</si>
  <si>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</si>
  <si>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</si>
  <si>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</si>
  <si>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</si>
  <si>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</si>
  <si>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</si>
  <si>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</si>
  <si>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</si>
  <si>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</si>
  <si>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</si>
  <si>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</si>
  <si>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</si>
  <si>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</si>
  <si>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</si>
  <si>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</si>
  <si>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</si>
  <si>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</si>
  <si>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</si>
  <si>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</si>
  <si>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</si>
  <si>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</si>
  <si>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</si>
  <si>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</si>
  <si>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</si>
  <si>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</si>
  <si>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</si>
  <si>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</si>
  <si>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</si>
  <si>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</si>
  <si>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</si>
  <si>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</si>
  <si>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</si>
  <si>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</si>
  <si>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</si>
  <si>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</si>
  <si>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</si>
  <si>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</si>
  <si>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</si>
  <si>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</si>
  <si>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</si>
  <si>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</si>
  <si>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</si>
  <si>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</si>
  <si>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</si>
  <si>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</si>
  <si>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</si>
  <si>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</si>
  <si>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</si>
  <si>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</si>
  <si>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</si>
  <si>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</si>
  <si>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</si>
  <si>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</si>
  <si>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</si>
  <si>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</si>
  <si>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</si>
  <si>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</si>
  <si>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</si>
  <si>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</si>
  <si>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</si>
  <si>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</si>
  <si>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</si>
  <si>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</si>
  <si>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</si>
  <si>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</si>
  <si>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</si>
  <si>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</si>
  <si>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</si>
  <si>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</si>
  <si>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</si>
  <si>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</si>
  <si>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</si>
  <si>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</si>
  <si>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</si>
  <si>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</si>
  <si>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</si>
  <si>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</si>
  <si>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</si>
  <si>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</si>
  <si>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</si>
  <si>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</si>
  <si>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</si>
  <si>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</si>
  <si>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</si>
  <si>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</si>
  <si>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</si>
  <si>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</si>
  <si>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</si>
  <si>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</si>
  <si>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</si>
  <si>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</si>
  <si>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</si>
  <si>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</si>
  <si>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</si>
  <si>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</si>
  <si>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</si>
  <si>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</si>
  <si>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</si>
  <si>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</si>
  <si>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</si>
  <si>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Missing region filled as Unknown; Order status is Cancelled; Payment status is Refunded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</si>
  <si>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</si>
  <si>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</si>
  <si>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</si>
  <si>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</si>
  <si>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</si>
  <si>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</si>
  <si>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</si>
  <si>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</si>
  <si>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</si>
  <si>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</si>
  <si>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</si>
  <si>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</si>
  <si>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</si>
  <si>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</si>
  <si>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</si>
  <si>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</si>
  <si>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</si>
  <si>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</si>
  <si>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</si>
  <si>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</si>
  <si>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</si>
  <si>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</si>
  <si>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</si>
  <si>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</si>
  <si>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</si>
  <si>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</si>
  <si>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</si>
  <si>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</si>
  <si>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</si>
  <si>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</si>
  <si>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</si>
  <si>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</si>
  <si>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</si>
  <si>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</si>
  <si>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</si>
  <si>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</si>
  <si>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</si>
  <si>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</si>
  <si>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</si>
  <si>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</si>
  <si>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</si>
  <si>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</si>
  <si>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</si>
  <si>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</si>
  <si>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</si>
  <si>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</si>
  <si>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</si>
  <si>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</si>
  <si>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</si>
  <si>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</si>
  <si>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</si>
  <si>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</si>
  <si>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</si>
  <si>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</si>
  <si>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</si>
  <si>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</si>
  <si>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</si>
  <si>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</si>
  <si>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</si>
  <si>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</si>
  <si>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</si>
  <si>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</si>
  <si>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</si>
  <si>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</si>
  <si>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</si>
  <si>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</si>
  <si>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</si>
  <si>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</si>
  <si>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</si>
  <si>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</si>
  <si>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</si>
  <si>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</si>
  <si>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</si>
  <si>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</si>
  <si>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</si>
  <si>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</si>
  <si>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</si>
  <si>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Unusually high discount above 50%; Sales calculation mismatch; Profit calculation mismatch; Order status is Cancelled; Payment status is Failed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</si>
  <si>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</si>
  <si>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</si>
  <si>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</si>
  <si>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</si>
  <si>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</si>
  <si>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</si>
  <si>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</si>
  <si>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</si>
  <si>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</si>
  <si>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</si>
  <si>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</si>
  <si>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</si>
  <si>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</si>
  <si>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</si>
  <si>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</si>
  <si>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</si>
  <si>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</si>
  <si>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</si>
  <si>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</si>
  <si>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</si>
  <si>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</si>
  <si>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</si>
  <si>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</si>
  <si>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</si>
  <si>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</si>
  <si>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</si>
  <si>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</si>
  <si>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</si>
  <si>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</si>
  <si>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</si>
  <si>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</si>
  <si>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</si>
  <si>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</si>
  <si>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</si>
  <si>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</si>
  <si>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Missing discount filled as 0; Sales calculation mismatch; Profit calculation mismatch; Order status is Returned; Payment status is Refunded</t>
  </si>
  <si>
    <t>ORD-2024-10699</t>
  </si>
  <si>
    <t>CUST-5357</t>
  </si>
  <si>
    <t>Classic Machines 648</t>
  </si>
  <si>
    <t>Sales calculation mismatch; Order status is Returned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</si>
  <si>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</si>
  <si>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</si>
  <si>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</si>
  <si>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</si>
  <si>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</si>
  <si>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</si>
  <si>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</si>
  <si>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</si>
  <si>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</si>
  <si>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</si>
  <si>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</si>
  <si>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</si>
  <si>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</si>
  <si>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</si>
  <si>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</si>
  <si>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</si>
  <si>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</si>
  <si>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</si>
  <si>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</si>
  <si>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</si>
  <si>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</si>
  <si>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</si>
  <si>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</si>
  <si>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</si>
  <si>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</si>
  <si>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</si>
  <si>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</si>
  <si>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</si>
  <si>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</si>
  <si>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</si>
  <si>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</si>
  <si>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</si>
  <si>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</si>
  <si>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</si>
  <si>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</si>
  <si>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</si>
  <si>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</si>
  <si>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</si>
  <si>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</si>
  <si>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</si>
  <si>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</si>
  <si>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</si>
  <si>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</si>
  <si>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</si>
  <si>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</si>
  <si>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</si>
  <si>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</si>
  <si>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</si>
  <si>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</si>
  <si>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</si>
  <si>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</si>
  <si>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</si>
  <si>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</si>
  <si>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</si>
  <si>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</si>
  <si>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</si>
  <si>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</si>
  <si>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</si>
  <si>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</si>
  <si>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</si>
  <si>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</si>
  <si>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</si>
  <si>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</si>
  <si>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</si>
  <si>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</si>
  <si>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</si>
  <si>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</si>
  <si>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</si>
  <si>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</si>
  <si>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</si>
  <si>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Missing discount filled as 0; Order status is Cancelled; Payment status is Refunded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</si>
  <si>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</si>
  <si>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</si>
  <si>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</si>
  <si>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</si>
  <si>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</si>
  <si>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</si>
  <si>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</si>
  <si>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</si>
  <si>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</si>
  <si>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</si>
  <si>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</si>
  <si>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</si>
  <si>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</si>
  <si>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</si>
  <si>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</si>
  <si>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</si>
  <si>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</si>
  <si>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</si>
  <si>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</si>
  <si>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</si>
  <si>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</si>
  <si>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</si>
  <si>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</si>
  <si>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</si>
  <si>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</si>
  <si>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</si>
  <si>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</si>
  <si>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</si>
  <si>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</si>
  <si>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</si>
  <si>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</si>
  <si>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</si>
  <si>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</si>
  <si>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</si>
  <si>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</si>
  <si>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</si>
  <si>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</si>
  <si>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</si>
  <si>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</si>
  <si>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</si>
  <si>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</si>
  <si>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</si>
  <si>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</si>
  <si>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</si>
  <si>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</si>
  <si>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</si>
  <si>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</si>
  <si>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</si>
  <si>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</si>
  <si>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</si>
  <si>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</si>
  <si>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</si>
  <si>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</si>
  <si>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</si>
  <si>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</si>
  <si>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</si>
  <si>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</si>
  <si>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</si>
  <si>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</si>
  <si>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</si>
  <si>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</si>
  <si>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</si>
  <si>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</si>
  <si>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</si>
  <si>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</si>
  <si>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</si>
  <si>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</si>
  <si>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</si>
  <si>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</si>
  <si>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</si>
  <si>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</si>
  <si>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</si>
  <si>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</si>
  <si>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</si>
  <si>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</si>
  <si>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</si>
  <si>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</si>
  <si>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</si>
  <si>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</si>
  <si>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</si>
  <si>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</si>
  <si>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</si>
  <si>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</si>
  <si>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</si>
  <si>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</si>
  <si>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Missing region filled as Unknown; Missing ship_mode filled as Unknown</t>
  </si>
  <si>
    <t>ORD-2024-10753</t>
  </si>
  <si>
    <t>CUST-6345</t>
  </si>
  <si>
    <t>Basic Storage 273</t>
  </si>
  <si>
    <t>ORD-2024-10754</t>
  </si>
  <si>
    <t>CUST-4505</t>
  </si>
  <si>
    <t>Elite Furnishings 588</t>
  </si>
  <si>
    <t>Ship date before order date; Order status is Returned; Payment status is Failed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</si>
  <si>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</si>
  <si>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</si>
  <si>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</si>
  <si>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</si>
  <si>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</si>
  <si>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</si>
  <si>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</si>
  <si>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</si>
  <si>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</si>
  <si>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</si>
  <si>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</si>
  <si>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</si>
  <si>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</si>
  <si>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</si>
  <si>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</si>
  <si>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</si>
  <si>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</si>
  <si>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</si>
  <si>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</si>
  <si>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</si>
  <si>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</si>
  <si>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</si>
  <si>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</si>
  <si>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</si>
  <si>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</si>
  <si>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</si>
  <si>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</si>
  <si>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</si>
  <si>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</si>
  <si>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</si>
  <si>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</si>
  <si>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</si>
  <si>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</si>
  <si>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</si>
  <si>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</si>
  <si>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</si>
  <si>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</si>
  <si>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</si>
  <si>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</si>
  <si>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</si>
  <si>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</si>
  <si>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</si>
  <si>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</si>
  <si>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</si>
  <si>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</si>
  <si>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</si>
  <si>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</si>
  <si>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</si>
  <si>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</si>
  <si>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</si>
  <si>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</si>
  <si>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</si>
  <si>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</si>
  <si>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</si>
  <si>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</si>
  <si>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</si>
  <si>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</si>
  <si>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</si>
  <si>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</si>
  <si>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</si>
  <si>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</si>
  <si>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</si>
  <si>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</si>
  <si>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</si>
  <si>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</si>
  <si>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</si>
  <si>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</si>
  <si>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</si>
  <si>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</si>
  <si>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</si>
  <si>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</si>
  <si>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</si>
  <si>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</si>
  <si>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</si>
  <si>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</si>
  <si>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</si>
  <si>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</si>
  <si>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</si>
  <si>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</si>
  <si>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</si>
  <si>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</si>
  <si>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</si>
  <si>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</si>
  <si>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</si>
  <si>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</si>
  <si>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</si>
  <si>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</si>
  <si>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</si>
  <si>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</si>
  <si>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</si>
  <si>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</si>
  <si>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</si>
  <si>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</si>
  <si>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</si>
  <si>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Profit calculation mismatch; Order status is Cancelled; Payment status is Failed</t>
  </si>
  <si>
    <t>ORD-2025-10787</t>
  </si>
  <si>
    <t>CUST-1343</t>
  </si>
  <si>
    <t>Pro Furnishings 233</t>
  </si>
  <si>
    <t>Missing ship_mode filled as Unknown; Order status is Returned; Payment status is Refunded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</si>
  <si>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</si>
  <si>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</si>
  <si>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</si>
  <si>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</si>
  <si>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</si>
  <si>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</si>
  <si>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</si>
  <si>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</si>
  <si>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</si>
  <si>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</si>
  <si>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</si>
  <si>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</si>
  <si>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</si>
  <si>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</si>
  <si>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</si>
  <si>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</si>
  <si>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</si>
  <si>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</si>
  <si>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</si>
  <si>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</si>
  <si>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</si>
  <si>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</si>
  <si>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</si>
  <si>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</si>
  <si>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</si>
  <si>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</si>
  <si>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</si>
  <si>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</si>
  <si>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</si>
  <si>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</si>
  <si>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</si>
  <si>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</si>
  <si>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</si>
  <si>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</si>
  <si>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</si>
  <si>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</si>
  <si>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</si>
  <si>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</si>
  <si>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</si>
  <si>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Missing ship_mode filled as Unknown; Order status is Returned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</si>
  <si>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</si>
  <si>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</si>
  <si>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</si>
  <si>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</si>
  <si>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</si>
  <si>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</si>
  <si>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</si>
  <si>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</si>
  <si>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</si>
  <si>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</si>
  <si>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</si>
  <si>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</si>
  <si>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</si>
  <si>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</si>
  <si>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</si>
  <si>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</si>
  <si>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</si>
  <si>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</si>
  <si>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</si>
  <si>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</si>
  <si>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</si>
  <si>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</si>
  <si>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</si>
  <si>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</si>
  <si>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</si>
  <si>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</si>
  <si>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</si>
  <si>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</si>
  <si>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</si>
  <si>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</si>
  <si>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</si>
  <si>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</si>
  <si>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</si>
  <si>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</si>
  <si>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</si>
  <si>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</si>
  <si>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</si>
  <si>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</si>
  <si>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</si>
  <si>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</si>
  <si>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</si>
  <si>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</si>
  <si>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</si>
  <si>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</si>
  <si>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</si>
  <si>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</si>
  <si>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</si>
  <si>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</si>
  <si>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</si>
  <si>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</si>
  <si>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</si>
  <si>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</si>
  <si>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</si>
  <si>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</si>
  <si>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</si>
  <si>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</si>
  <si>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</si>
  <si>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</si>
  <si>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</si>
  <si>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</si>
  <si>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</si>
  <si>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</si>
  <si>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</si>
  <si>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</si>
  <si>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</si>
  <si>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</si>
  <si>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</si>
  <si>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</si>
  <si>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</si>
  <si>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</si>
  <si>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</si>
  <si>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</si>
  <si>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</si>
  <si>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</si>
  <si>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</si>
  <si>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</si>
  <si>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</si>
  <si>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</si>
  <si>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</si>
  <si>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</si>
  <si>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</si>
  <si>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</si>
  <si>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</si>
  <si>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</si>
  <si>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</si>
  <si>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</si>
  <si>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</si>
  <si>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</si>
  <si>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</si>
  <si>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</si>
  <si>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</si>
  <si>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</si>
  <si>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</si>
  <si>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Missing region filled as Unknown; Order status is Returned; Payment status is Failed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</si>
  <si>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</si>
  <si>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</si>
  <si>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</si>
  <si>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</si>
  <si>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</si>
  <si>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</si>
  <si>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</si>
  <si>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</si>
  <si>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</si>
  <si>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</si>
  <si>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</si>
  <si>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</si>
  <si>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</si>
  <si>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</si>
  <si>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</si>
  <si>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</si>
  <si>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</si>
  <si>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</si>
  <si>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</si>
  <si>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</si>
  <si>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</si>
  <si>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</si>
  <si>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</si>
  <si>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</si>
  <si>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</si>
  <si>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</si>
  <si>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</si>
  <si>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</si>
  <si>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</si>
  <si>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</si>
  <si>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</si>
  <si>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</si>
  <si>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</si>
  <si>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Ship date before order date; Order status is Returned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</si>
  <si>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</si>
  <si>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</si>
  <si>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</si>
  <si>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</si>
  <si>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</si>
  <si>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</si>
  <si>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</si>
  <si>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</si>
  <si>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</si>
  <si>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</si>
  <si>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</si>
  <si>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</si>
  <si>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</si>
  <si>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</si>
  <si>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</si>
  <si>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</si>
  <si>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</si>
  <si>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</si>
  <si>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</si>
  <si>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</si>
  <si>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</si>
  <si>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</si>
  <si>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</si>
  <si>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</si>
  <si>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</si>
  <si>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</si>
  <si>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</si>
  <si>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</si>
  <si>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</si>
  <si>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</si>
  <si>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</si>
  <si>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</si>
  <si>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</si>
  <si>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</si>
  <si>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</si>
  <si>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</si>
  <si>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</si>
  <si>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</si>
  <si>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</si>
  <si>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</si>
  <si>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</si>
  <si>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</si>
  <si>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</si>
  <si>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</si>
  <si>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</si>
  <si>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</si>
  <si>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</si>
  <si>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</si>
  <si>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</si>
  <si>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</si>
  <si>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</si>
  <si>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</si>
  <si>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</si>
  <si>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</si>
  <si>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</si>
  <si>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</si>
  <si>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</si>
  <si>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</si>
  <si>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</si>
  <si>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</si>
  <si>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</si>
  <si>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</si>
  <si>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</si>
  <si>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</si>
  <si>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</si>
  <si>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</si>
  <si>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</si>
  <si>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</si>
  <si>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</si>
  <si>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</si>
  <si>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</si>
  <si>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</si>
  <si>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</si>
  <si>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</si>
  <si>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</si>
  <si>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</si>
  <si>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</si>
  <si>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</si>
  <si>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</si>
  <si>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</si>
  <si>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</si>
  <si>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</si>
  <si>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</si>
  <si>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</si>
  <si>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</si>
  <si>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</si>
  <si>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</si>
  <si>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</si>
  <si>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</si>
  <si>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</si>
  <si>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</si>
  <si>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</si>
  <si>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</si>
  <si>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</si>
  <si>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</si>
  <si>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</si>
  <si>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</si>
  <si>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</si>
  <si>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</si>
  <si>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</si>
  <si>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</si>
  <si>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</si>
  <si>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</si>
  <si>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</si>
  <si>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</si>
  <si>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</si>
  <si>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</si>
  <si>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</si>
  <si>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</si>
  <si>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</si>
  <si>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</si>
  <si>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</si>
  <si>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</si>
  <si>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</si>
  <si>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</si>
  <si>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</si>
  <si>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</si>
  <si>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</si>
  <si>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</si>
  <si>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</si>
  <si>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</si>
  <si>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</si>
  <si>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</si>
  <si>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</si>
  <si>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</si>
  <si>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</si>
  <si>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</si>
  <si>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</si>
  <si>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</si>
  <si>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</si>
  <si>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</si>
  <si>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</si>
  <si>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</si>
  <si>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</si>
  <si>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</si>
  <si>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</si>
  <si>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</si>
  <si>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</si>
  <si>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</si>
  <si>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</si>
  <si>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</si>
  <si>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</si>
  <si>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</si>
  <si>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</si>
  <si>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</si>
  <si>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</si>
  <si>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</si>
  <si>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</si>
  <si>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</si>
  <si>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</si>
  <si>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</si>
  <si>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</si>
  <si>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</si>
  <si>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</si>
  <si>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</si>
  <si>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</si>
  <si>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</si>
  <si>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</si>
  <si>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</si>
  <si>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</si>
  <si>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</si>
  <si>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Sales calculation mismatch; Conflicting duplicate order_id</t>
  </si>
  <si>
    <t>Sales calculation mismatch; Order status is Returned; Conflicting duplicate order_id</t>
  </si>
  <si>
    <t>Sales calculation mismatch; Payment status is Failed; Conflicting duplicate order_id</t>
  </si>
  <si>
    <t>Sales calculation mismatch; Missing ship_mode filled as Unknown; Payment status is Failed; Conflicting duplicate order_id</t>
  </si>
  <si>
    <t>Ship date before order date; Sales calculation mismatch; Order status is Returned; Conflicting duplicate order_id</t>
  </si>
  <si>
    <t>Sales calculation mismatch; Profit calculation mismatch; Order status is Returned; Conflicting duplicate order_id</t>
  </si>
  <si>
    <t>Sales calculation mismatch; Order status is Returned; Payment status is Refunded; Conflicting duplicate order_id</t>
  </si>
  <si>
    <t>Rule Area</t>
  </si>
  <si>
    <t>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</si>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</sst>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4" fontId="1" fillId="2" borderId="0" xfId="0" applyNumberFormat="1" applyFont="1" applyFill="1" applyAlignment="1">
      <alignment vertical="top" wrapText="1"/>
    </xf>
    <xf numFmtId="10" fontId="1" fillId="2" borderId="0" xfId="0" applyNumberFormat="1" applyFont="1" applyFill="1" applyAlignment="1">
      <alignment vertical="top" wrapText="1"/>
    </xf>
    <xf numFmtId="0" fontId="0" fillId="3" borderId="0" xfId="0" applyFill="1"/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4" fontId="0" fillId="3" borderId="0" xfId="0" applyNumberFormat="1" applyFill="1" applyAlignment="1">
      <alignment vertical="top" wrapText="1"/>
    </xf>
    <xf numFmtId="10" fontId="0" fillId="3" borderId="0" xfId="0" applyNumberFormat="1" applyFill="1" applyAlignment="1">
      <alignment vertical="top" wrapText="1"/>
    </xf>
    <xf numFmtId="0" fontId="0" fillId="4" borderId="0" xfId="0" applyFill="1"/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4" fontId="0" fillId="4" borderId="0" xfId="0" applyNumberFormat="1" applyFill="1" applyAlignment="1">
      <alignment vertical="top" wrapText="1"/>
    </xf>
    <xf numFmtId="10" fontId="0" fillId="4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style="1" customWidth="1"/>
    <col min="3" max="4" width="12" style="2" customWidth="1"/>
    <col min="5" max="5" width="13" style="1" customWidth="1"/>
    <col min="6" max="6" width="15" style="1" customWidth="1"/>
    <col min="7" max="11" width="12" style="1" customWidth="1"/>
    <col min="12" max="13" width="14" style="1" customWidth="1"/>
    <col min="14" max="15" width="12" style="1" customWidth="1"/>
    <col min="16" max="16" width="12" style="3" customWidth="1"/>
    <col min="17" max="17" width="19" style="4" customWidth="1"/>
    <col min="18" max="18" width="18" style="4" customWidth="1"/>
    <col min="19" max="21" width="12" style="3" customWidth="1"/>
    <col min="22" max="22" width="16" style="1" customWidth="1"/>
    <col min="23" max="23" width="14" style="1" customWidth="1"/>
    <col min="24" max="24" width="18" style="3" customWidth="1"/>
    <col min="25" max="25" width="19" style="3" customWidth="1"/>
    <col min="26" max="26" width="15" style="4" customWidth="1"/>
    <col min="27" max="27" width="21" style="1" customWidth="1"/>
    <col min="28" max="28" width="13" style="1" customWidth="1"/>
    <col min="29" max="29" width="12" style="1" customWidth="1"/>
    <col min="30" max="30" width="19" style="1" customWidth="1"/>
    <col min="31" max="31" width="25" style="1" customWidth="1"/>
    <col min="32" max="32" width="42" style="1" customWidth="1"/>
  </cols>
  <sheetData>
    <row r="1" spans="1:32" s="5" customFormat="1" x14ac:dyDescent="0.25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15</v>
      </c>
      <c r="Q1" s="9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9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x14ac:dyDescent="0.25">
      <c r="A2" s="1">
        <v>2</v>
      </c>
      <c r="B2" s="1" t="s">
        <v>32</v>
      </c>
      <c r="C2" s="2">
        <v>45493.77083333333</v>
      </c>
      <c r="D2" s="2">
        <v>45499.77083333333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>
        <v>8</v>
      </c>
      <c r="P2" s="3">
        <v>2976.45</v>
      </c>
      <c r="Q2" s="4">
        <v>0.2</v>
      </c>
      <c r="R2" s="4">
        <v>0.2</v>
      </c>
      <c r="S2" s="3">
        <v>19049.28</v>
      </c>
      <c r="T2" s="3">
        <v>15841.89</v>
      </c>
      <c r="U2" s="3">
        <v>3207.39</v>
      </c>
      <c r="V2" s="1" t="s">
        <v>43</v>
      </c>
      <c r="W2" s="1" t="s">
        <v>44</v>
      </c>
      <c r="X2" s="3">
        <f>IF(OR(O2="",P2="",R2=""),"",O2*P2*(1-R2))</f>
        <v>19049.28</v>
      </c>
      <c r="Y2" s="3">
        <f>IF(OR(X2="",T2=""),"",X2-T2)</f>
        <v>3207.39</v>
      </c>
      <c r="Z2" s="4">
        <f>IFERROR(Y2/X2,"")</f>
        <v>0.1684</v>
      </c>
      <c r="AA2" s="1">
        <f>IF(OR(C2="",D2=""),"",D2-C2)</f>
        <v>6</v>
      </c>
      <c r="AB2" s="1">
        <f>IF(C2="","",MONTH(C2))</f>
        <v>7</v>
      </c>
      <c r="AC2" s="1">
        <f>IF(C2="","",YEAR(C2))</f>
        <v>2024</v>
      </c>
      <c r="AD2" s="1" t="s">
        <v>45</v>
      </c>
      <c r="AE2" s="1" t="s">
        <v>46</v>
      </c>
      <c r="AF2" s="1" t="s">
        <v>47</v>
      </c>
    </row>
    <row r="3" spans="1:32" x14ac:dyDescent="0.25">
      <c r="A3" s="1">
        <v>3</v>
      </c>
      <c r="B3" s="1" t="s">
        <v>48</v>
      </c>
      <c r="C3" s="2">
        <v>45534.77083333333</v>
      </c>
      <c r="D3" s="2">
        <v>45539.77083333333</v>
      </c>
      <c r="E3" s="1" t="s">
        <v>49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 t="s">
        <v>58</v>
      </c>
      <c r="O3" s="1">
        <v>3</v>
      </c>
      <c r="P3" s="3">
        <v>2437.5</v>
      </c>
      <c r="Q3" s="4">
        <v>0</v>
      </c>
      <c r="R3" s="4">
        <v>0</v>
      </c>
      <c r="S3" s="3">
        <v>7312.5</v>
      </c>
      <c r="T3" s="3">
        <v>4904.73</v>
      </c>
      <c r="U3" s="3">
        <v>2407.77</v>
      </c>
      <c r="V3" s="1" t="s">
        <v>43</v>
      </c>
      <c r="W3" s="1" t="s">
        <v>44</v>
      </c>
      <c r="X3" s="3">
        <f>IF(OR(O3="",P3="",R3=""),"",O3*P3*(1-R3))</f>
        <v>7312.5</v>
      </c>
      <c r="Y3" s="3">
        <f>IF(OR(X3="",T3=""),"",X3-T3)</f>
        <v>2407.77</v>
      </c>
      <c r="Z3" s="4">
        <f>IFERROR(Y3/X3,"")</f>
        <v>0.3293</v>
      </c>
      <c r="AA3" s="1">
        <f>IF(OR(C3="",D3=""),"",D3-C3)</f>
        <v>5</v>
      </c>
      <c r="AB3" s="1">
        <f>IF(C3="","",MONTH(C3))</f>
        <v>8</v>
      </c>
      <c r="AC3" s="1">
        <f>IF(C3="","",YEAR(C3))</f>
        <v>2024</v>
      </c>
      <c r="AD3" s="1" t="s">
        <v>45</v>
      </c>
      <c r="AE3" s="1" t="s">
        <v>46</v>
      </c>
      <c r="AF3" s="1" t="s">
        <v>47</v>
      </c>
    </row>
    <row r="4" spans="1:32" s="10" customFormat="1" x14ac:dyDescent="0.25">
      <c r="A4" s="11">
        <v>4</v>
      </c>
      <c r="B4" s="11" t="s">
        <v>59</v>
      </c>
      <c r="C4" s="12">
        <v>45450.77083333333</v>
      </c>
      <c r="D4" s="12">
        <v>45457.77083333333</v>
      </c>
      <c r="E4" s="11" t="s">
        <v>60</v>
      </c>
      <c r="F4" s="11" t="s">
        <v>61</v>
      </c>
      <c r="G4" s="11" t="s">
        <v>35</v>
      </c>
      <c r="H4" s="11" t="s">
        <v>52</v>
      </c>
      <c r="I4" s="11" t="s">
        <v>53</v>
      </c>
      <c r="J4" s="11" t="s">
        <v>54</v>
      </c>
      <c r="K4" s="11" t="s">
        <v>39</v>
      </c>
      <c r="L4" s="11" t="s">
        <v>62</v>
      </c>
      <c r="M4" s="11" t="s">
        <v>63</v>
      </c>
      <c r="N4" s="11" t="s">
        <v>64</v>
      </c>
      <c r="O4" s="11">
        <v>4</v>
      </c>
      <c r="P4" s="13">
        <v>1065.43</v>
      </c>
      <c r="Q4" s="14">
        <v>0.55</v>
      </c>
      <c r="R4" s="14">
        <v>0.55</v>
      </c>
      <c r="S4" s="13">
        <v>4261.72</v>
      </c>
      <c r="T4" s="13">
        <v>2465.69</v>
      </c>
      <c r="U4" s="13">
        <v>1796.03</v>
      </c>
      <c r="V4" s="11" t="s">
        <v>43</v>
      </c>
      <c r="W4" s="11" t="s">
        <v>44</v>
      </c>
      <c r="X4" s="13">
        <f>IF(OR(O4="",P4="",R4=""),"",O4*P4*(1-R4))</f>
        <v>1917.77</v>
      </c>
      <c r="Y4" s="13">
        <f>IF(OR(X4="",T4=""),"",X4-T4)</f>
        <v>-547.92</v>
      </c>
      <c r="Z4" s="14">
        <f>IFERROR(Y4/X4,"")</f>
        <v>-0.2857</v>
      </c>
      <c r="AA4" s="11">
        <f>IF(OR(C4="",D4=""),"",D4-C4)</f>
        <v>7</v>
      </c>
      <c r="AB4" s="11">
        <f>IF(C4="","",MONTH(C4))</f>
        <v>6</v>
      </c>
      <c r="AC4" s="11">
        <f>IF(C4="","",YEAR(C4))</f>
        <v>2024</v>
      </c>
      <c r="AD4" s="11" t="s">
        <v>65</v>
      </c>
      <c r="AE4" s="11" t="s">
        <v>66</v>
      </c>
      <c r="AF4" s="11" t="s">
        <v>67</v>
      </c>
    </row>
    <row r="5" spans="1:32" x14ac:dyDescent="0.25">
      <c r="A5" s="1">
        <v>5</v>
      </c>
      <c r="B5" s="1" t="s">
        <v>68</v>
      </c>
      <c r="C5" s="2">
        <v>45623.77083333333</v>
      </c>
      <c r="D5" s="2">
        <v>45624.77083333333</v>
      </c>
      <c r="E5" s="1" t="s">
        <v>69</v>
      </c>
      <c r="F5" s="1" t="s">
        <v>70</v>
      </c>
      <c r="G5" s="1" t="s">
        <v>51</v>
      </c>
      <c r="H5" s="1" t="s">
        <v>71</v>
      </c>
      <c r="I5" s="1" t="s">
        <v>72</v>
      </c>
      <c r="J5" s="1" t="s">
        <v>73</v>
      </c>
      <c r="K5" s="1" t="s">
        <v>55</v>
      </c>
      <c r="L5" s="1" t="s">
        <v>74</v>
      </c>
      <c r="M5" s="1" t="s">
        <v>75</v>
      </c>
      <c r="N5" s="1" t="s">
        <v>76</v>
      </c>
      <c r="O5" s="1">
        <v>6</v>
      </c>
      <c r="P5" s="3">
        <v>1848.43</v>
      </c>
      <c r="Q5" s="4">
        <v>0.25</v>
      </c>
      <c r="R5" s="4">
        <v>0.25</v>
      </c>
      <c r="S5" s="3">
        <v>8317.93</v>
      </c>
      <c r="T5" s="3">
        <v>6796.77</v>
      </c>
      <c r="U5" s="3">
        <v>1521.16</v>
      </c>
      <c r="V5" s="1" t="s">
        <v>43</v>
      </c>
      <c r="W5" s="1" t="s">
        <v>44</v>
      </c>
      <c r="X5" s="3">
        <f>IF(OR(O5="",P5="",R5=""),"",O5*P5*(1-R5))</f>
        <v>8317.94</v>
      </c>
      <c r="Y5" s="3">
        <f>IF(OR(X5="",T5=""),"",X5-T5)</f>
        <v>1521.17</v>
      </c>
      <c r="Z5" s="4">
        <f>IFERROR(Y5/X5,"")</f>
        <v>0.1829</v>
      </c>
      <c r="AA5" s="1">
        <f>IF(OR(C5="",D5=""),"",D5-C5)</f>
        <v>1</v>
      </c>
      <c r="AB5" s="1">
        <f>IF(C5="","",MONTH(C5))</f>
        <v>11</v>
      </c>
      <c r="AC5" s="1">
        <f>IF(C5="","",YEAR(C5))</f>
        <v>2024</v>
      </c>
      <c r="AD5" s="1" t="s">
        <v>45</v>
      </c>
      <c r="AE5" s="1" t="s">
        <v>46</v>
      </c>
      <c r="AF5" s="1" t="s">
        <v>47</v>
      </c>
    </row>
    <row r="6" spans="1:32" s="15" customFormat="1" x14ac:dyDescent="0.25">
      <c r="A6" s="16">
        <v>6</v>
      </c>
      <c r="B6" s="16" t="s">
        <v>77</v>
      </c>
      <c r="C6" s="17">
        <v>45897.77083333333</v>
      </c>
      <c r="D6" s="17">
        <v>45900.77083333333</v>
      </c>
      <c r="E6" s="16" t="s">
        <v>78</v>
      </c>
      <c r="F6" s="16" t="s">
        <v>79</v>
      </c>
      <c r="G6" s="16" t="s">
        <v>51</v>
      </c>
      <c r="H6" s="16" t="s">
        <v>80</v>
      </c>
      <c r="I6" s="16" t="s">
        <v>81</v>
      </c>
      <c r="J6" s="16" t="s">
        <v>82</v>
      </c>
      <c r="K6" s="16" t="s">
        <v>55</v>
      </c>
      <c r="L6" s="16" t="s">
        <v>83</v>
      </c>
      <c r="M6" s="16" t="s">
        <v>84</v>
      </c>
      <c r="N6" s="16" t="s">
        <v>64</v>
      </c>
      <c r="O6" s="16">
        <v>7</v>
      </c>
      <c r="P6" s="18">
        <v>2973.76</v>
      </c>
      <c r="Q6" s="19">
        <v>0</v>
      </c>
      <c r="R6" s="19">
        <v>0</v>
      </c>
      <c r="S6" s="18">
        <v>20816.32</v>
      </c>
      <c r="T6" s="18">
        <v>17705.37</v>
      </c>
      <c r="U6" s="18">
        <v>3110.95</v>
      </c>
      <c r="V6" s="16" t="s">
        <v>43</v>
      </c>
      <c r="W6" s="16" t="s">
        <v>85</v>
      </c>
      <c r="X6" s="18">
        <f>IF(OR(O6="",P6="",R6=""),"",O6*P6*(1-R6))</f>
        <v>20816.32</v>
      </c>
      <c r="Y6" s="18">
        <f>IF(OR(X6="",T6=""),"",X6-T6)</f>
        <v>3110.95</v>
      </c>
      <c r="Z6" s="19">
        <f>IFERROR(Y6/X6,"")</f>
        <v>0.1494</v>
      </c>
      <c r="AA6" s="16">
        <f>IF(OR(C6="",D6=""),"",D6-C6)</f>
        <v>3</v>
      </c>
      <c r="AB6" s="16">
        <f>IF(C6="","",MONTH(C6))</f>
        <v>8</v>
      </c>
      <c r="AC6" s="16">
        <f>IF(C6="","",YEAR(C6))</f>
        <v>2025</v>
      </c>
      <c r="AD6" s="16" t="s">
        <v>86</v>
      </c>
      <c r="AE6" s="16" t="s">
        <v>66</v>
      </c>
      <c r="AF6" s="16" t="s">
        <v>87</v>
      </c>
    </row>
    <row r="7" spans="1:32" x14ac:dyDescent="0.25">
      <c r="A7" s="1">
        <v>7</v>
      </c>
      <c r="B7" s="1" t="s">
        <v>88</v>
      </c>
      <c r="C7" s="2">
        <v>45435.77083333333</v>
      </c>
      <c r="D7" s="2">
        <v>45439.77083333333</v>
      </c>
      <c r="E7" s="1" t="s">
        <v>89</v>
      </c>
      <c r="F7" s="1" t="s">
        <v>90</v>
      </c>
      <c r="G7" s="1" t="s">
        <v>51</v>
      </c>
      <c r="H7" s="1" t="s">
        <v>80</v>
      </c>
      <c r="I7" s="1" t="s">
        <v>91</v>
      </c>
      <c r="J7" s="1" t="s">
        <v>92</v>
      </c>
      <c r="K7" s="1" t="s">
        <v>93</v>
      </c>
      <c r="L7" s="1" t="s">
        <v>94</v>
      </c>
      <c r="M7" s="1" t="s">
        <v>95</v>
      </c>
      <c r="N7" s="1" t="s">
        <v>58</v>
      </c>
      <c r="O7" s="1">
        <v>3</v>
      </c>
      <c r="P7" s="3">
        <v>1053.11</v>
      </c>
      <c r="Q7" s="4">
        <v>0.2</v>
      </c>
      <c r="R7" s="4">
        <v>0.2</v>
      </c>
      <c r="S7" s="3">
        <v>2527.46</v>
      </c>
      <c r="T7" s="3">
        <v>1533.58</v>
      </c>
      <c r="U7" s="3">
        <v>993.88</v>
      </c>
      <c r="V7" s="1" t="s">
        <v>43</v>
      </c>
      <c r="W7" s="1" t="s">
        <v>44</v>
      </c>
      <c r="X7" s="3">
        <f>IF(OR(O7="",P7="",R7=""),"",O7*P7*(1-R7))</f>
        <v>2527.46</v>
      </c>
      <c r="Y7" s="3">
        <f>IF(OR(X7="",T7=""),"",X7-T7)</f>
        <v>993.88</v>
      </c>
      <c r="Z7" s="4">
        <f>IFERROR(Y7/X7,"")</f>
        <v>0.3932</v>
      </c>
      <c r="AA7" s="1">
        <f>IF(OR(C7="",D7=""),"",D7-C7)</f>
        <v>4</v>
      </c>
      <c r="AB7" s="1">
        <f>IF(C7="","",MONTH(C7))</f>
        <v>5</v>
      </c>
      <c r="AC7" s="1">
        <f>IF(C7="","",YEAR(C7))</f>
        <v>2024</v>
      </c>
      <c r="AD7" s="1" t="s">
        <v>45</v>
      </c>
      <c r="AE7" s="1" t="s">
        <v>46</v>
      </c>
      <c r="AF7" s="1" t="s">
        <v>47</v>
      </c>
    </row>
    <row r="8" spans="1:32" x14ac:dyDescent="0.25">
      <c r="A8" s="1">
        <v>8</v>
      </c>
      <c r="B8" s="1" t="s">
        <v>96</v>
      </c>
      <c r="C8" s="2">
        <v>45756.77083333333</v>
      </c>
      <c r="D8" s="2">
        <v>45762.77083333333</v>
      </c>
      <c r="E8" s="1" t="s">
        <v>97</v>
      </c>
      <c r="F8" s="1" t="s">
        <v>98</v>
      </c>
      <c r="G8" s="1" t="s">
        <v>35</v>
      </c>
      <c r="H8" s="1" t="s">
        <v>52</v>
      </c>
      <c r="I8" s="1" t="s">
        <v>53</v>
      </c>
      <c r="J8" s="1" t="s">
        <v>54</v>
      </c>
      <c r="K8" s="1" t="s">
        <v>93</v>
      </c>
      <c r="L8" s="1" t="s">
        <v>99</v>
      </c>
      <c r="M8" s="1" t="s">
        <v>100</v>
      </c>
      <c r="N8" s="1" t="s">
        <v>76</v>
      </c>
      <c r="O8" s="1">
        <v>4</v>
      </c>
      <c r="P8" s="3">
        <v>1719.87</v>
      </c>
      <c r="Q8" s="4">
        <v>0.15</v>
      </c>
      <c r="R8" s="4">
        <v>0.15</v>
      </c>
      <c r="S8" s="3">
        <v>5847.56</v>
      </c>
      <c r="T8" s="3">
        <v>4727.25</v>
      </c>
      <c r="U8" s="3">
        <v>1120.31</v>
      </c>
      <c r="V8" s="1" t="s">
        <v>43</v>
      </c>
      <c r="W8" s="1" t="s">
        <v>44</v>
      </c>
      <c r="X8" s="3">
        <f>IF(OR(O8="",P8="",R8=""),"",O8*P8*(1-R8))</f>
        <v>5847.56</v>
      </c>
      <c r="Y8" s="3">
        <f>IF(OR(X8="",T8=""),"",X8-T8)</f>
        <v>1120.31</v>
      </c>
      <c r="Z8" s="4">
        <f>IFERROR(Y8/X8,"")</f>
        <v>0.1916</v>
      </c>
      <c r="AA8" s="1">
        <f>IF(OR(C8="",D8=""),"",D8-C8)</f>
        <v>6</v>
      </c>
      <c r="AB8" s="1">
        <f>IF(C8="","",MONTH(C8))</f>
        <v>4</v>
      </c>
      <c r="AC8" s="1">
        <f>IF(C8="","",YEAR(C8))</f>
        <v>2025</v>
      </c>
      <c r="AD8" s="1" t="s">
        <v>45</v>
      </c>
      <c r="AE8" s="1" t="s">
        <v>46</v>
      </c>
      <c r="AF8" s="1" t="s">
        <v>47</v>
      </c>
    </row>
    <row r="9" spans="1:32" x14ac:dyDescent="0.25">
      <c r="A9" s="1">
        <v>9</v>
      </c>
      <c r="B9" s="1" t="s">
        <v>101</v>
      </c>
      <c r="C9" s="2">
        <v>45710.77083333333</v>
      </c>
      <c r="D9" s="2">
        <v>45713.77083333333</v>
      </c>
      <c r="E9" s="1" t="s">
        <v>102</v>
      </c>
      <c r="F9" s="1" t="s">
        <v>61</v>
      </c>
      <c r="G9" s="1" t="s">
        <v>51</v>
      </c>
      <c r="H9" s="1" t="s">
        <v>71</v>
      </c>
      <c r="I9" s="1" t="s">
        <v>103</v>
      </c>
      <c r="J9" s="1" t="s">
        <v>104</v>
      </c>
      <c r="K9" s="1" t="s">
        <v>39</v>
      </c>
      <c r="L9" s="1" t="s">
        <v>62</v>
      </c>
      <c r="M9" s="1" t="s">
        <v>105</v>
      </c>
      <c r="N9" s="1" t="s">
        <v>64</v>
      </c>
      <c r="O9" s="1">
        <v>1</v>
      </c>
      <c r="P9" s="3">
        <v>2980.71</v>
      </c>
      <c r="Q9" s="4">
        <v>0</v>
      </c>
      <c r="R9" s="4">
        <v>0</v>
      </c>
      <c r="S9" s="3">
        <v>2980.71</v>
      </c>
      <c r="T9" s="3">
        <v>2357.22</v>
      </c>
      <c r="U9" s="3">
        <v>623.49</v>
      </c>
      <c r="V9" s="1" t="s">
        <v>43</v>
      </c>
      <c r="W9" s="1" t="s">
        <v>44</v>
      </c>
      <c r="X9" s="3">
        <f>IF(OR(O9="",P9="",R9=""),"",O9*P9*(1-R9))</f>
        <v>2980.71</v>
      </c>
      <c r="Y9" s="3">
        <f>IF(OR(X9="",T9=""),"",X9-T9)</f>
        <v>623.49</v>
      </c>
      <c r="Z9" s="4">
        <f>IFERROR(Y9/X9,"")</f>
        <v>0.2092</v>
      </c>
      <c r="AA9" s="1">
        <f>IF(OR(C9="",D9=""),"",D9-C9)</f>
        <v>3</v>
      </c>
      <c r="AB9" s="1">
        <f>IF(C9="","",MONTH(C9))</f>
        <v>2</v>
      </c>
      <c r="AC9" s="1">
        <f>IF(C9="","",YEAR(C9))</f>
        <v>2025</v>
      </c>
      <c r="AD9" s="1" t="s">
        <v>45</v>
      </c>
      <c r="AE9" s="1" t="s">
        <v>46</v>
      </c>
      <c r="AF9" s="1" t="s">
        <v>47</v>
      </c>
    </row>
    <row r="10" spans="1:32" x14ac:dyDescent="0.25">
      <c r="A10" s="1">
        <v>10</v>
      </c>
      <c r="B10" s="1" t="s">
        <v>106</v>
      </c>
      <c r="C10" s="2">
        <v>45600.77083333333</v>
      </c>
      <c r="D10" s="2">
        <v>45605.77083333333</v>
      </c>
      <c r="E10" s="1" t="s">
        <v>107</v>
      </c>
      <c r="F10" s="1" t="s">
        <v>108</v>
      </c>
      <c r="G10" s="1" t="s">
        <v>109</v>
      </c>
      <c r="H10" s="1" t="s">
        <v>71</v>
      </c>
      <c r="I10" s="1" t="s">
        <v>72</v>
      </c>
      <c r="J10" s="1" t="s">
        <v>73</v>
      </c>
      <c r="K10" s="1" t="s">
        <v>39</v>
      </c>
      <c r="L10" s="1" t="s">
        <v>110</v>
      </c>
      <c r="M10" s="1" t="s">
        <v>111</v>
      </c>
      <c r="N10" s="1" t="s">
        <v>64</v>
      </c>
      <c r="O10" s="1">
        <v>8</v>
      </c>
      <c r="P10" s="3">
        <v>3134.2</v>
      </c>
      <c r="Q10" s="4">
        <v>0</v>
      </c>
      <c r="R10" s="4">
        <v>0</v>
      </c>
      <c r="S10" s="3">
        <v>25073.6</v>
      </c>
      <c r="T10" s="3">
        <v>17347.23</v>
      </c>
      <c r="U10" s="3">
        <v>7726.37</v>
      </c>
      <c r="V10" s="1" t="s">
        <v>43</v>
      </c>
      <c r="W10" s="1" t="s">
        <v>44</v>
      </c>
      <c r="X10" s="3">
        <f>IF(OR(O10="",P10="",R10=""),"",O10*P10*(1-R10))</f>
        <v>25073.6</v>
      </c>
      <c r="Y10" s="3">
        <f>IF(OR(X10="",T10=""),"",X10-T10)</f>
        <v>7726.37</v>
      </c>
      <c r="Z10" s="4">
        <f>IFERROR(Y10/X10,"")</f>
        <v>0.3081</v>
      </c>
      <c r="AA10" s="1">
        <f>IF(OR(C10="",D10=""),"",D10-C10)</f>
        <v>5</v>
      </c>
      <c r="AB10" s="1">
        <f>IF(C10="","",MONTH(C10))</f>
        <v>11</v>
      </c>
      <c r="AC10" s="1">
        <f>IF(C10="","",YEAR(C10))</f>
        <v>2024</v>
      </c>
      <c r="AD10" s="1" t="s">
        <v>45</v>
      </c>
      <c r="AE10" s="1" t="s">
        <v>46</v>
      </c>
      <c r="AF10" s="1" t="s">
        <v>47</v>
      </c>
    </row>
    <row r="11" spans="1:32" x14ac:dyDescent="0.25">
      <c r="A11" s="1">
        <v>11</v>
      </c>
      <c r="B11" s="1" t="s">
        <v>112</v>
      </c>
      <c r="C11" s="2">
        <v>45906.77083333333</v>
      </c>
      <c r="D11" s="2">
        <v>45911.77083333333</v>
      </c>
      <c r="E11" s="1" t="s">
        <v>113</v>
      </c>
      <c r="F11" s="1" t="s">
        <v>50</v>
      </c>
      <c r="G11" s="1" t="s">
        <v>114</v>
      </c>
      <c r="H11" s="1" t="s">
        <v>71</v>
      </c>
      <c r="I11" s="1" t="s">
        <v>72</v>
      </c>
      <c r="J11" s="1" t="s">
        <v>73</v>
      </c>
      <c r="K11" s="1" t="s">
        <v>39</v>
      </c>
      <c r="L11" s="1" t="s">
        <v>40</v>
      </c>
      <c r="M11" s="1" t="s">
        <v>115</v>
      </c>
      <c r="N11" s="1" t="s">
        <v>42</v>
      </c>
      <c r="O11" s="1">
        <v>9</v>
      </c>
      <c r="P11" s="3">
        <v>852.04</v>
      </c>
      <c r="Q11" s="4">
        <v>0.2</v>
      </c>
      <c r="R11" s="4">
        <v>0.2</v>
      </c>
      <c r="S11" s="3">
        <v>6134.69</v>
      </c>
      <c r="T11" s="3">
        <v>3800.19</v>
      </c>
      <c r="U11" s="3">
        <v>2334.5</v>
      </c>
      <c r="V11" s="1" t="s">
        <v>43</v>
      </c>
      <c r="W11" s="1" t="s">
        <v>44</v>
      </c>
      <c r="X11" s="3">
        <f>IF(OR(O11="",P11="",R11=""),"",O11*P11*(1-R11))</f>
        <v>6134.69</v>
      </c>
      <c r="Y11" s="3">
        <f>IF(OR(X11="",T11=""),"",X11-T11)</f>
        <v>2334.5</v>
      </c>
      <c r="Z11" s="4">
        <f>IFERROR(Y11/X11,"")</f>
        <v>0.3805</v>
      </c>
      <c r="AA11" s="1">
        <f>IF(OR(C11="",D11=""),"",D11-C11)</f>
        <v>5</v>
      </c>
      <c r="AB11" s="1">
        <f>IF(C11="","",MONTH(C11))</f>
        <v>9</v>
      </c>
      <c r="AC11" s="1">
        <f>IF(C11="","",YEAR(C11))</f>
        <v>2025</v>
      </c>
      <c r="AD11" s="1" t="s">
        <v>45</v>
      </c>
      <c r="AE11" s="1" t="s">
        <v>46</v>
      </c>
      <c r="AF11" s="1" t="s">
        <v>47</v>
      </c>
    </row>
    <row r="12" spans="1:32" s="15" customFormat="1" x14ac:dyDescent="0.25">
      <c r="A12" s="16">
        <v>12</v>
      </c>
      <c r="B12" s="16" t="s">
        <v>116</v>
      </c>
      <c r="C12" s="17">
        <v>45796.77083333333</v>
      </c>
      <c r="D12" s="17">
        <v>45796.77083333333</v>
      </c>
      <c r="E12" s="16" t="s">
        <v>117</v>
      </c>
      <c r="F12" s="16" t="s">
        <v>79</v>
      </c>
      <c r="G12" s="16" t="s">
        <v>109</v>
      </c>
      <c r="H12" s="16" t="s">
        <v>52</v>
      </c>
      <c r="I12" s="16" t="s">
        <v>118</v>
      </c>
      <c r="J12" s="16" t="s">
        <v>119</v>
      </c>
      <c r="K12" s="16" t="s">
        <v>39</v>
      </c>
      <c r="L12" s="16" t="s">
        <v>110</v>
      </c>
      <c r="M12" s="16" t="s">
        <v>120</v>
      </c>
      <c r="N12" s="16" t="s">
        <v>42</v>
      </c>
      <c r="O12" s="16">
        <v>3</v>
      </c>
      <c r="P12" s="18">
        <v>3534.83</v>
      </c>
      <c r="Q12" s="19">
        <v>0.05</v>
      </c>
      <c r="R12" s="19">
        <v>0.05</v>
      </c>
      <c r="S12" s="18">
        <v>10074.27</v>
      </c>
      <c r="T12" s="18">
        <v>6048.27</v>
      </c>
      <c r="U12" s="18">
        <v>4026</v>
      </c>
      <c r="V12" s="16" t="s">
        <v>121</v>
      </c>
      <c r="W12" s="16" t="s">
        <v>122</v>
      </c>
      <c r="X12" s="18">
        <f>IF(OR(O12="",P12="",R12=""),"",O12*P12*(1-R12))</f>
        <v>10074.27</v>
      </c>
      <c r="Y12" s="18">
        <f>IF(OR(X12="",T12=""),"",X12-T12)</f>
        <v>4026</v>
      </c>
      <c r="Z12" s="19">
        <f>IFERROR(Y12/X12,"")</f>
        <v>0.3996</v>
      </c>
      <c r="AA12" s="16">
        <f>IF(OR(C12="",D12=""),"",D12-C12)</f>
        <v>0</v>
      </c>
      <c r="AB12" s="16">
        <f>IF(C12="","",MONTH(C12))</f>
        <v>5</v>
      </c>
      <c r="AC12" s="16">
        <f>IF(C12="","",YEAR(C12))</f>
        <v>2025</v>
      </c>
      <c r="AD12" s="16" t="s">
        <v>86</v>
      </c>
      <c r="AE12" s="16" t="s">
        <v>66</v>
      </c>
      <c r="AF12" s="16" t="s">
        <v>123</v>
      </c>
    </row>
    <row r="13" spans="1:32" x14ac:dyDescent="0.25">
      <c r="A13" s="1">
        <v>13</v>
      </c>
      <c r="B13" s="1" t="s">
        <v>124</v>
      </c>
      <c r="C13" s="2">
        <v>45494.77083333333</v>
      </c>
      <c r="D13" s="2">
        <v>45495.77083333333</v>
      </c>
      <c r="E13" s="1" t="s">
        <v>125</v>
      </c>
      <c r="F13" s="1" t="s">
        <v>90</v>
      </c>
      <c r="G13" s="1" t="s">
        <v>51</v>
      </c>
      <c r="H13" s="1" t="s">
        <v>52</v>
      </c>
      <c r="I13" s="1" t="s">
        <v>53</v>
      </c>
      <c r="J13" s="1" t="s">
        <v>54</v>
      </c>
      <c r="K13" s="1" t="s">
        <v>93</v>
      </c>
      <c r="L13" s="1" t="s">
        <v>94</v>
      </c>
      <c r="M13" s="1" t="s">
        <v>126</v>
      </c>
      <c r="N13" s="1" t="s">
        <v>58</v>
      </c>
      <c r="O13" s="1">
        <v>6</v>
      </c>
      <c r="P13" s="3">
        <v>2005.95</v>
      </c>
      <c r="Q13" s="4">
        <v>0.2</v>
      </c>
      <c r="R13" s="4">
        <v>0.2</v>
      </c>
      <c r="S13" s="3">
        <v>9628.56</v>
      </c>
      <c r="T13" s="3">
        <v>8038.59</v>
      </c>
      <c r="U13" s="3">
        <v>1589.97</v>
      </c>
      <c r="V13" s="1" t="s">
        <v>43</v>
      </c>
      <c r="W13" s="1" t="s">
        <v>44</v>
      </c>
      <c r="X13" s="3">
        <f>IF(OR(O13="",P13="",R13=""),"",O13*P13*(1-R13))</f>
        <v>9628.56</v>
      </c>
      <c r="Y13" s="3">
        <f>IF(OR(X13="",T13=""),"",X13-T13)</f>
        <v>1589.97</v>
      </c>
      <c r="Z13" s="4">
        <f>IFERROR(Y13/X13,"")</f>
        <v>0.1651</v>
      </c>
      <c r="AA13" s="1">
        <f>IF(OR(C13="",D13=""),"",D13-C13)</f>
        <v>1</v>
      </c>
      <c r="AB13" s="1">
        <f>IF(C13="","",MONTH(C13))</f>
        <v>7</v>
      </c>
      <c r="AC13" s="1">
        <f>IF(C13="","",YEAR(C13))</f>
        <v>2024</v>
      </c>
      <c r="AD13" s="1" t="s">
        <v>45</v>
      </c>
      <c r="AE13" s="1" t="s">
        <v>46</v>
      </c>
      <c r="AF13" s="1" t="s">
        <v>47</v>
      </c>
    </row>
    <row r="14" spans="1:32" s="15" customFormat="1" x14ac:dyDescent="0.25">
      <c r="A14" s="16">
        <v>14</v>
      </c>
      <c r="B14" s="16" t="s">
        <v>127</v>
      </c>
      <c r="C14" s="17">
        <v>45645.77083333333</v>
      </c>
      <c r="D14" s="17">
        <v>45646.77083333333</v>
      </c>
      <c r="E14" s="16" t="s">
        <v>128</v>
      </c>
      <c r="F14" s="16" t="s">
        <v>79</v>
      </c>
      <c r="G14" s="16" t="s">
        <v>109</v>
      </c>
      <c r="H14" s="16" t="s">
        <v>80</v>
      </c>
      <c r="I14" s="16" t="s">
        <v>37</v>
      </c>
      <c r="J14" s="16" t="s">
        <v>129</v>
      </c>
      <c r="K14" s="16" t="s">
        <v>39</v>
      </c>
      <c r="L14" s="16" t="s">
        <v>40</v>
      </c>
      <c r="M14" s="16" t="s">
        <v>130</v>
      </c>
      <c r="N14" s="16" t="s">
        <v>64</v>
      </c>
      <c r="O14" s="16">
        <v>1</v>
      </c>
      <c r="P14" s="18">
        <v>702.14</v>
      </c>
      <c r="Q14" s="19">
        <v>0.15</v>
      </c>
      <c r="R14" s="19">
        <v>0.15</v>
      </c>
      <c r="S14" s="18">
        <v>596.82</v>
      </c>
      <c r="T14" s="18">
        <v>380.25</v>
      </c>
      <c r="U14" s="18">
        <v>216.57</v>
      </c>
      <c r="V14" s="16" t="s">
        <v>131</v>
      </c>
      <c r="W14" s="16" t="s">
        <v>122</v>
      </c>
      <c r="X14" s="18">
        <f>IF(OR(O14="",P14="",R14=""),"",O14*P14*(1-R14))</f>
        <v>596.82</v>
      </c>
      <c r="Y14" s="18">
        <f>IF(OR(X14="",T14=""),"",X14-T14)</f>
        <v>216.57</v>
      </c>
      <c r="Z14" s="19">
        <f>IFERROR(Y14/X14,"")</f>
        <v>0.3629</v>
      </c>
      <c r="AA14" s="16">
        <f>IF(OR(C14="",D14=""),"",D14-C14)</f>
        <v>1</v>
      </c>
      <c r="AB14" s="16">
        <f>IF(C14="","",MONTH(C14))</f>
        <v>12</v>
      </c>
      <c r="AC14" s="16">
        <f>IF(C14="","",YEAR(C14))</f>
        <v>2024</v>
      </c>
      <c r="AD14" s="16" t="s">
        <v>86</v>
      </c>
      <c r="AE14" s="16" t="s">
        <v>66</v>
      </c>
      <c r="AF14" s="16" t="s">
        <v>132</v>
      </c>
    </row>
    <row r="15" spans="1:32" x14ac:dyDescent="0.25">
      <c r="A15" s="1">
        <v>15</v>
      </c>
      <c r="B15" s="1" t="s">
        <v>133</v>
      </c>
      <c r="C15" s="2">
        <v>45941.77083333333</v>
      </c>
      <c r="D15" s="2">
        <v>45945.77083333333</v>
      </c>
      <c r="E15" s="1" t="s">
        <v>134</v>
      </c>
      <c r="F15" s="1" t="s">
        <v>135</v>
      </c>
      <c r="G15" s="1" t="s">
        <v>51</v>
      </c>
      <c r="H15" s="1" t="s">
        <v>80</v>
      </c>
      <c r="I15" s="1" t="s">
        <v>81</v>
      </c>
      <c r="J15" s="1" t="s">
        <v>82</v>
      </c>
      <c r="K15" s="1" t="s">
        <v>39</v>
      </c>
      <c r="L15" s="1" t="s">
        <v>62</v>
      </c>
      <c r="M15" s="1" t="s">
        <v>136</v>
      </c>
      <c r="N15" s="1" t="s">
        <v>42</v>
      </c>
      <c r="O15" s="1">
        <v>7</v>
      </c>
      <c r="P15" s="3">
        <v>3964.72</v>
      </c>
      <c r="Q15" s="4">
        <v>0.05</v>
      </c>
      <c r="R15" s="4">
        <v>0.05</v>
      </c>
      <c r="S15" s="3">
        <v>26365.39</v>
      </c>
      <c r="T15" s="3">
        <v>22306.24</v>
      </c>
      <c r="U15" s="3">
        <v>4059.15</v>
      </c>
      <c r="V15" s="1" t="s">
        <v>43</v>
      </c>
      <c r="W15" s="1" t="s">
        <v>44</v>
      </c>
      <c r="X15" s="3">
        <f>IF(OR(O15="",P15="",R15=""),"",O15*P15*(1-R15))</f>
        <v>26365.39</v>
      </c>
      <c r="Y15" s="3">
        <f>IF(OR(X15="",T15=""),"",X15-T15)</f>
        <v>4059.15</v>
      </c>
      <c r="Z15" s="4">
        <f>IFERROR(Y15/X15,"")</f>
        <v>0.154</v>
      </c>
      <c r="AA15" s="1">
        <f>IF(OR(C15="",D15=""),"",D15-C15)</f>
        <v>4</v>
      </c>
      <c r="AB15" s="1">
        <f>IF(C15="","",MONTH(C15))</f>
        <v>10</v>
      </c>
      <c r="AC15" s="1">
        <f>IF(C15="","",YEAR(C15))</f>
        <v>2025</v>
      </c>
      <c r="AD15" s="1" t="s">
        <v>45</v>
      </c>
      <c r="AE15" s="1" t="s">
        <v>46</v>
      </c>
      <c r="AF15" s="1" t="s">
        <v>47</v>
      </c>
    </row>
    <row r="16" spans="1:32" x14ac:dyDescent="0.25">
      <c r="A16" s="1">
        <v>16</v>
      </c>
      <c r="B16" s="1" t="s">
        <v>137</v>
      </c>
      <c r="C16" s="2">
        <v>45652.77083333333</v>
      </c>
      <c r="D16" s="2">
        <v>45653.77083333333</v>
      </c>
      <c r="E16" s="1" t="s">
        <v>138</v>
      </c>
      <c r="F16" s="1" t="s">
        <v>139</v>
      </c>
      <c r="G16" s="1" t="s">
        <v>35</v>
      </c>
      <c r="H16" s="1" t="s">
        <v>80</v>
      </c>
      <c r="I16" s="1" t="s">
        <v>37</v>
      </c>
      <c r="J16" s="1" t="s">
        <v>129</v>
      </c>
      <c r="K16" s="1" t="s">
        <v>93</v>
      </c>
      <c r="L16" s="1" t="s">
        <v>99</v>
      </c>
      <c r="M16" s="1" t="s">
        <v>140</v>
      </c>
      <c r="N16" s="1" t="s">
        <v>76</v>
      </c>
      <c r="O16" s="1">
        <v>2</v>
      </c>
      <c r="P16" s="3">
        <v>2737.83</v>
      </c>
      <c r="Q16" s="4">
        <v>0.25</v>
      </c>
      <c r="R16" s="4">
        <v>0.25</v>
      </c>
      <c r="S16" s="3">
        <v>4106.74</v>
      </c>
      <c r="T16" s="3">
        <v>2666.3</v>
      </c>
      <c r="U16" s="3">
        <v>1440.44</v>
      </c>
      <c r="V16" s="1" t="s">
        <v>43</v>
      </c>
      <c r="W16" s="1" t="s">
        <v>44</v>
      </c>
      <c r="X16" s="3">
        <f>IF(OR(O16="",P16="",R16=""),"",O16*P16*(1-R16))</f>
        <v>4106.75</v>
      </c>
      <c r="Y16" s="3">
        <f>IF(OR(X16="",T16=""),"",X16-T16)</f>
        <v>1440.45</v>
      </c>
      <c r="Z16" s="4">
        <f>IFERROR(Y16/X16,"")</f>
        <v>0.3508</v>
      </c>
      <c r="AA16" s="1">
        <f>IF(OR(C16="",D16=""),"",D16-C16)</f>
        <v>1</v>
      </c>
      <c r="AB16" s="1">
        <f>IF(C16="","",MONTH(C16))</f>
        <v>12</v>
      </c>
      <c r="AC16" s="1">
        <f>IF(C16="","",YEAR(C16))</f>
        <v>2024</v>
      </c>
      <c r="AD16" s="1" t="s">
        <v>45</v>
      </c>
      <c r="AE16" s="1" t="s">
        <v>46</v>
      </c>
      <c r="AF16" s="1" t="s">
        <v>47</v>
      </c>
    </row>
    <row r="17" spans="1:32" x14ac:dyDescent="0.25">
      <c r="A17" s="1">
        <v>17</v>
      </c>
      <c r="B17" s="1" t="s">
        <v>141</v>
      </c>
      <c r="C17" s="2">
        <v>45481.77083333333</v>
      </c>
      <c r="D17" s="2">
        <v>45481.77083333333</v>
      </c>
      <c r="E17" s="1" t="s">
        <v>142</v>
      </c>
      <c r="F17" s="1" t="s">
        <v>34</v>
      </c>
      <c r="G17" s="1" t="s">
        <v>51</v>
      </c>
      <c r="H17" s="1" t="s">
        <v>36</v>
      </c>
      <c r="I17" s="1" t="s">
        <v>143</v>
      </c>
      <c r="J17" s="1" t="s">
        <v>144</v>
      </c>
      <c r="K17" s="1" t="s">
        <v>39</v>
      </c>
      <c r="L17" s="1" t="s">
        <v>145</v>
      </c>
      <c r="M17" s="1" t="s">
        <v>146</v>
      </c>
      <c r="N17" s="1" t="s">
        <v>42</v>
      </c>
      <c r="O17" s="1">
        <v>6</v>
      </c>
      <c r="P17" s="3">
        <v>3965.76</v>
      </c>
      <c r="Q17" s="4">
        <v>0</v>
      </c>
      <c r="R17" s="4">
        <v>0</v>
      </c>
      <c r="S17" s="3">
        <v>23794.56</v>
      </c>
      <c r="T17" s="3">
        <v>15698.47</v>
      </c>
      <c r="U17" s="3">
        <v>8096.09</v>
      </c>
      <c r="V17" s="1" t="s">
        <v>43</v>
      </c>
      <c r="W17" s="1" t="s">
        <v>44</v>
      </c>
      <c r="X17" s="3">
        <f>IF(OR(O17="",P17="",R17=""),"",O17*P17*(1-R17))</f>
        <v>23794.56</v>
      </c>
      <c r="Y17" s="3">
        <f>IF(OR(X17="",T17=""),"",X17-T17)</f>
        <v>8096.09</v>
      </c>
      <c r="Z17" s="4">
        <f>IFERROR(Y17/X17,"")</f>
        <v>0.3402</v>
      </c>
      <c r="AA17" s="1">
        <f>IF(OR(C17="",D17=""),"",D17-C17)</f>
        <v>0</v>
      </c>
      <c r="AB17" s="1">
        <f>IF(C17="","",MONTH(C17))</f>
        <v>7</v>
      </c>
      <c r="AC17" s="1">
        <f>IF(C17="","",YEAR(C17))</f>
        <v>2024</v>
      </c>
      <c r="AD17" s="1" t="s">
        <v>45</v>
      </c>
      <c r="AE17" s="1" t="s">
        <v>46</v>
      </c>
      <c r="AF17" s="1" t="s">
        <v>47</v>
      </c>
    </row>
    <row r="18" spans="1:32" x14ac:dyDescent="0.25">
      <c r="A18" s="1">
        <v>18</v>
      </c>
      <c r="B18" s="1" t="s">
        <v>147</v>
      </c>
      <c r="C18" s="2">
        <v>45419.77083333333</v>
      </c>
      <c r="D18" s="2">
        <v>45426.77083333333</v>
      </c>
      <c r="E18" s="1" t="s">
        <v>148</v>
      </c>
      <c r="F18" s="1" t="s">
        <v>149</v>
      </c>
      <c r="G18" s="1" t="s">
        <v>35</v>
      </c>
      <c r="H18" s="1" t="s">
        <v>71</v>
      </c>
      <c r="I18" s="1" t="s">
        <v>72</v>
      </c>
      <c r="J18" s="1" t="s">
        <v>73</v>
      </c>
      <c r="K18" s="1" t="s">
        <v>39</v>
      </c>
      <c r="L18" s="1" t="s">
        <v>62</v>
      </c>
      <c r="M18" s="1" t="s">
        <v>150</v>
      </c>
      <c r="N18" s="1" t="s">
        <v>64</v>
      </c>
      <c r="O18" s="1">
        <v>4</v>
      </c>
      <c r="P18" s="3">
        <v>3323.51</v>
      </c>
      <c r="Q18" s="4">
        <v>0.25</v>
      </c>
      <c r="R18" s="4">
        <v>0.25</v>
      </c>
      <c r="S18" s="3">
        <v>9970.53</v>
      </c>
      <c r="T18" s="3">
        <v>5668.17</v>
      </c>
      <c r="U18" s="3">
        <v>4302.36</v>
      </c>
      <c r="V18" s="1" t="s">
        <v>43</v>
      </c>
      <c r="W18" s="1" t="s">
        <v>44</v>
      </c>
      <c r="X18" s="3">
        <f>IF(OR(O18="",P18="",R18=""),"",O18*P18*(1-R18))</f>
        <v>9970.53</v>
      </c>
      <c r="Y18" s="3">
        <f>IF(OR(X18="",T18=""),"",X18-T18)</f>
        <v>4302.36</v>
      </c>
      <c r="Z18" s="4">
        <f>IFERROR(Y18/X18,"")</f>
        <v>0.4315</v>
      </c>
      <c r="AA18" s="1">
        <f>IF(OR(C18="",D18=""),"",D18-C18)</f>
        <v>7</v>
      </c>
      <c r="AB18" s="1">
        <f>IF(C18="","",MONTH(C18))</f>
        <v>5</v>
      </c>
      <c r="AC18" s="1">
        <f>IF(C18="","",YEAR(C18))</f>
        <v>2024</v>
      </c>
      <c r="AD18" s="1" t="s">
        <v>45</v>
      </c>
      <c r="AE18" s="1" t="s">
        <v>46</v>
      </c>
      <c r="AF18" s="1" t="s">
        <v>47</v>
      </c>
    </row>
    <row r="19" spans="1:32" x14ac:dyDescent="0.25">
      <c r="A19" s="1">
        <v>19</v>
      </c>
      <c r="B19" s="1" t="s">
        <v>151</v>
      </c>
      <c r="C19" s="2">
        <v>45297.77083333333</v>
      </c>
      <c r="D19" s="2">
        <v>45298.77083333333</v>
      </c>
      <c r="E19" s="1" t="s">
        <v>152</v>
      </c>
      <c r="F19" s="1" t="s">
        <v>153</v>
      </c>
      <c r="G19" s="1" t="s">
        <v>51</v>
      </c>
      <c r="H19" s="1" t="s">
        <v>36</v>
      </c>
      <c r="I19" s="1" t="s">
        <v>37</v>
      </c>
      <c r="J19" s="1" t="s">
        <v>38</v>
      </c>
      <c r="K19" s="1" t="s">
        <v>55</v>
      </c>
      <c r="L19" s="1" t="s">
        <v>74</v>
      </c>
      <c r="M19" s="1" t="s">
        <v>154</v>
      </c>
      <c r="N19" s="1" t="s">
        <v>58</v>
      </c>
      <c r="O19" s="1">
        <v>5</v>
      </c>
      <c r="P19" s="3">
        <v>1526.78</v>
      </c>
      <c r="Q19" s="4">
        <v>0</v>
      </c>
      <c r="R19" s="4">
        <v>0</v>
      </c>
      <c r="S19" s="3">
        <v>7633.9</v>
      </c>
      <c r="T19" s="3">
        <v>4706.91</v>
      </c>
      <c r="U19" s="3">
        <v>2926.99</v>
      </c>
      <c r="V19" s="1" t="s">
        <v>43</v>
      </c>
      <c r="W19" s="1" t="s">
        <v>44</v>
      </c>
      <c r="X19" s="3">
        <f>IF(OR(O19="",P19="",R19=""),"",O19*P19*(1-R19))</f>
        <v>7633.9</v>
      </c>
      <c r="Y19" s="3">
        <f>IF(OR(X19="",T19=""),"",X19-T19)</f>
        <v>2926.99</v>
      </c>
      <c r="Z19" s="4">
        <f>IFERROR(Y19/X19,"")</f>
        <v>0.3834</v>
      </c>
      <c r="AA19" s="1">
        <f>IF(OR(C19="",D19=""),"",D19-C19)</f>
        <v>1</v>
      </c>
      <c r="AB19" s="1">
        <f>IF(C19="","",MONTH(C19))</f>
        <v>1</v>
      </c>
      <c r="AC19" s="1">
        <f>IF(C19="","",YEAR(C19))</f>
        <v>2024</v>
      </c>
      <c r="AD19" s="1" t="s">
        <v>45</v>
      </c>
      <c r="AE19" s="1" t="s">
        <v>46</v>
      </c>
      <c r="AF19" s="1" t="s">
        <v>47</v>
      </c>
    </row>
    <row r="20" spans="1:32" s="15" customFormat="1" x14ac:dyDescent="0.25">
      <c r="A20" s="16">
        <v>20</v>
      </c>
      <c r="B20" s="16" t="s">
        <v>155</v>
      </c>
      <c r="C20" s="17">
        <v>45852.77083333333</v>
      </c>
      <c r="D20" s="17">
        <v>45854.77083333333</v>
      </c>
      <c r="E20" s="16" t="s">
        <v>156</v>
      </c>
      <c r="F20" s="16" t="s">
        <v>149</v>
      </c>
      <c r="G20" s="16" t="s">
        <v>114</v>
      </c>
      <c r="H20" s="16" t="s">
        <v>36</v>
      </c>
      <c r="I20" s="16" t="s">
        <v>157</v>
      </c>
      <c r="J20" s="16" t="s">
        <v>158</v>
      </c>
      <c r="K20" s="16" t="s">
        <v>93</v>
      </c>
      <c r="L20" s="16" t="s">
        <v>99</v>
      </c>
      <c r="M20" s="16" t="s">
        <v>159</v>
      </c>
      <c r="N20" s="16" t="s">
        <v>64</v>
      </c>
      <c r="O20" s="16">
        <v>2</v>
      </c>
      <c r="P20" s="18">
        <v>1997.99</v>
      </c>
      <c r="Q20" s="19">
        <v>0</v>
      </c>
      <c r="R20" s="19">
        <v>0</v>
      </c>
      <c r="S20" s="18">
        <v>3995.98</v>
      </c>
      <c r="T20" s="18">
        <v>2633.2</v>
      </c>
      <c r="U20" s="18">
        <v>1362.78</v>
      </c>
      <c r="V20" s="16" t="s">
        <v>121</v>
      </c>
      <c r="W20" s="16" t="s">
        <v>85</v>
      </c>
      <c r="X20" s="18">
        <f>IF(OR(O20="",P20="",R20=""),"",O20*P20*(1-R20))</f>
        <v>3995.98</v>
      </c>
      <c r="Y20" s="18">
        <f>IF(OR(X20="",T20=""),"",X20-T20)</f>
        <v>1362.78</v>
      </c>
      <c r="Z20" s="19">
        <f>IFERROR(Y20/X20,"")</f>
        <v>0.341</v>
      </c>
      <c r="AA20" s="16">
        <f>IF(OR(C20="",D20=""),"",D20-C20)</f>
        <v>2</v>
      </c>
      <c r="AB20" s="16">
        <f>IF(C20="","",MONTH(C20))</f>
        <v>7</v>
      </c>
      <c r="AC20" s="16">
        <f>IF(C20="","",YEAR(C20))</f>
        <v>2025</v>
      </c>
      <c r="AD20" s="16" t="s">
        <v>86</v>
      </c>
      <c r="AE20" s="16" t="s">
        <v>66</v>
      </c>
      <c r="AF20" s="16" t="s">
        <v>160</v>
      </c>
    </row>
    <row r="21" spans="1:32" s="10" customFormat="1" x14ac:dyDescent="0.25">
      <c r="A21" s="11">
        <v>21</v>
      </c>
      <c r="B21" s="11" t="s">
        <v>161</v>
      </c>
      <c r="C21" s="12">
        <v>45499.77083333333</v>
      </c>
      <c r="D21" s="12">
        <v>45503.77083333333</v>
      </c>
      <c r="E21" s="11" t="s">
        <v>162</v>
      </c>
      <c r="F21" s="11" t="s">
        <v>163</v>
      </c>
      <c r="G21" s="11" t="s">
        <v>114</v>
      </c>
      <c r="H21" s="11" t="s">
        <v>80</v>
      </c>
      <c r="I21" s="11" t="s">
        <v>91</v>
      </c>
      <c r="J21" s="11" t="s">
        <v>92</v>
      </c>
      <c r="K21" s="11" t="s">
        <v>39</v>
      </c>
      <c r="L21" s="11" t="s">
        <v>145</v>
      </c>
      <c r="M21" s="11" t="s">
        <v>164</v>
      </c>
      <c r="N21" s="11" t="s">
        <v>42</v>
      </c>
      <c r="O21" s="11">
        <v>3</v>
      </c>
      <c r="P21" s="13">
        <v>3887.94</v>
      </c>
      <c r="Q21" s="14">
        <v>-0.19</v>
      </c>
      <c r="R21" s="14">
        <v>-0.19</v>
      </c>
      <c r="S21" s="13">
        <v>9331.06</v>
      </c>
      <c r="T21" s="13">
        <v>7529.31</v>
      </c>
      <c r="U21" s="13">
        <v>1801.75</v>
      </c>
      <c r="V21" s="11" t="s">
        <v>43</v>
      </c>
      <c r="W21" s="11" t="s">
        <v>44</v>
      </c>
      <c r="X21" s="13">
        <f>IF(OR(O21="",P21="",R21=""),"",O21*P21*(1-R21))</f>
        <v>13879.95</v>
      </c>
      <c r="Y21" s="13">
        <f>IF(OR(X21="",T21=""),"",X21-T21)</f>
        <v>6350.64</v>
      </c>
      <c r="Z21" s="14">
        <f>IFERROR(Y21/X21,"")</f>
        <v>0.4575</v>
      </c>
      <c r="AA21" s="11">
        <f>IF(OR(C21="",D21=""),"",D21-C21)</f>
        <v>4</v>
      </c>
      <c r="AB21" s="11">
        <f>IF(C21="","",MONTH(C21))</f>
        <v>7</v>
      </c>
      <c r="AC21" s="11">
        <f>IF(C21="","",YEAR(C21))</f>
        <v>2024</v>
      </c>
      <c r="AD21" s="11" t="s">
        <v>65</v>
      </c>
      <c r="AE21" s="11" t="s">
        <v>66</v>
      </c>
      <c r="AF21" s="11" t="s">
        <v>165</v>
      </c>
    </row>
    <row r="22" spans="1:32" x14ac:dyDescent="0.25">
      <c r="A22" s="1">
        <v>22</v>
      </c>
      <c r="B22" s="1" t="s">
        <v>166</v>
      </c>
      <c r="C22" s="2">
        <v>45677.77083333333</v>
      </c>
      <c r="D22" s="2">
        <v>45679.77083333333</v>
      </c>
      <c r="E22" s="1" t="s">
        <v>167</v>
      </c>
      <c r="F22" s="1" t="s">
        <v>108</v>
      </c>
      <c r="G22" s="1" t="s">
        <v>114</v>
      </c>
      <c r="H22" s="1" t="s">
        <v>52</v>
      </c>
      <c r="I22" s="1" t="s">
        <v>168</v>
      </c>
      <c r="J22" s="1" t="s">
        <v>169</v>
      </c>
      <c r="K22" s="1" t="s">
        <v>93</v>
      </c>
      <c r="L22" s="1" t="s">
        <v>99</v>
      </c>
      <c r="M22" s="1" t="s">
        <v>170</v>
      </c>
      <c r="N22" s="1" t="s">
        <v>64</v>
      </c>
      <c r="O22" s="1">
        <v>5</v>
      </c>
      <c r="P22" s="3">
        <v>4373.06</v>
      </c>
      <c r="Q22" s="4">
        <v>0.25</v>
      </c>
      <c r="R22" s="4">
        <v>0.25</v>
      </c>
      <c r="S22" s="3">
        <v>16398.98</v>
      </c>
      <c r="T22" s="3">
        <v>9556.52</v>
      </c>
      <c r="U22" s="3">
        <v>6842.46</v>
      </c>
      <c r="V22" s="1" t="s">
        <v>43</v>
      </c>
      <c r="W22" s="1" t="s">
        <v>44</v>
      </c>
      <c r="X22" s="3">
        <f>IF(OR(O22="",P22="",R22=""),"",O22*P22*(1-R22))</f>
        <v>16398.98</v>
      </c>
      <c r="Y22" s="3">
        <f>IF(OR(X22="",T22=""),"",X22-T22)</f>
        <v>6842.46</v>
      </c>
      <c r="Z22" s="4">
        <f>IFERROR(Y22/X22,"")</f>
        <v>0.4172</v>
      </c>
      <c r="AA22" s="1">
        <f>IF(OR(C22="",D22=""),"",D22-C22)</f>
        <v>2</v>
      </c>
      <c r="AB22" s="1">
        <f>IF(C22="","",MONTH(C22))</f>
        <v>1</v>
      </c>
      <c r="AC22" s="1">
        <f>IF(C22="","",YEAR(C22))</f>
        <v>2025</v>
      </c>
      <c r="AD22" s="1" t="s">
        <v>45</v>
      </c>
      <c r="AE22" s="1" t="s">
        <v>46</v>
      </c>
      <c r="AF22" s="1" t="s">
        <v>47</v>
      </c>
    </row>
    <row r="23" spans="1:32" s="10" customFormat="1" x14ac:dyDescent="0.25">
      <c r="A23" s="11">
        <v>23</v>
      </c>
      <c r="B23" s="11" t="s">
        <v>171</v>
      </c>
      <c r="C23" s="12">
        <v>45680.77083333333</v>
      </c>
      <c r="D23" s="12">
        <v>45686.77083333333</v>
      </c>
      <c r="E23" s="11" t="s">
        <v>172</v>
      </c>
      <c r="F23" s="11" t="s">
        <v>153</v>
      </c>
      <c r="G23" s="11" t="s">
        <v>35</v>
      </c>
      <c r="H23" s="11" t="s">
        <v>80</v>
      </c>
      <c r="I23" s="11" t="s">
        <v>91</v>
      </c>
      <c r="J23" s="11" t="s">
        <v>92</v>
      </c>
      <c r="K23" s="11" t="s">
        <v>55</v>
      </c>
      <c r="L23" s="11" t="s">
        <v>74</v>
      </c>
      <c r="M23" s="11" t="s">
        <v>173</v>
      </c>
      <c r="N23" s="11" t="s">
        <v>42</v>
      </c>
      <c r="O23" s="11">
        <v>4</v>
      </c>
      <c r="P23" s="13">
        <v>697.69</v>
      </c>
      <c r="Q23" s="14">
        <v>-0.23</v>
      </c>
      <c r="R23" s="14">
        <v>-0.23</v>
      </c>
      <c r="S23" s="13">
        <v>2790.76</v>
      </c>
      <c r="T23" s="13">
        <v>2037.71</v>
      </c>
      <c r="U23" s="13">
        <v>753.05</v>
      </c>
      <c r="V23" s="11" t="s">
        <v>43</v>
      </c>
      <c r="W23" s="11" t="s">
        <v>44</v>
      </c>
      <c r="X23" s="13">
        <f>IF(OR(O23="",P23="",R23=""),"",O23*P23*(1-R23))</f>
        <v>3432.63</v>
      </c>
      <c r="Y23" s="13">
        <f>IF(OR(X23="",T23=""),"",X23-T23)</f>
        <v>1394.92</v>
      </c>
      <c r="Z23" s="14">
        <f>IFERROR(Y23/X23,"")</f>
        <v>0.4064</v>
      </c>
      <c r="AA23" s="11">
        <f>IF(OR(C23="",D23=""),"",D23-C23)</f>
        <v>6</v>
      </c>
      <c r="AB23" s="11">
        <f>IF(C23="","",MONTH(C23))</f>
        <v>1</v>
      </c>
      <c r="AC23" s="11">
        <f>IF(C23="","",YEAR(C23))</f>
        <v>2025</v>
      </c>
      <c r="AD23" s="11" t="s">
        <v>65</v>
      </c>
      <c r="AE23" s="11" t="s">
        <v>66</v>
      </c>
      <c r="AF23" s="11" t="s">
        <v>165</v>
      </c>
    </row>
    <row r="24" spans="1:32" s="15" customFormat="1" x14ac:dyDescent="0.25">
      <c r="A24" s="16">
        <v>24</v>
      </c>
      <c r="B24" s="16" t="s">
        <v>174</v>
      </c>
      <c r="C24" s="17">
        <v>45675.77083333333</v>
      </c>
      <c r="D24" s="17">
        <v>45677.77083333333</v>
      </c>
      <c r="E24" s="16" t="s">
        <v>175</v>
      </c>
      <c r="F24" s="16" t="s">
        <v>50</v>
      </c>
      <c r="G24" s="16" t="s">
        <v>35</v>
      </c>
      <c r="H24" s="16" t="s">
        <v>71</v>
      </c>
      <c r="I24" s="16" t="s">
        <v>72</v>
      </c>
      <c r="J24" s="16" t="s">
        <v>73</v>
      </c>
      <c r="K24" s="16" t="s">
        <v>39</v>
      </c>
      <c r="L24" s="16" t="s">
        <v>176</v>
      </c>
      <c r="M24" s="16" t="s">
        <v>177</v>
      </c>
      <c r="N24" s="16" t="s">
        <v>76</v>
      </c>
      <c r="O24" s="16">
        <v>8</v>
      </c>
      <c r="P24" s="18">
        <v>1219.34</v>
      </c>
      <c r="Q24" s="19">
        <v>0.15</v>
      </c>
      <c r="R24" s="19">
        <v>0.15</v>
      </c>
      <c r="S24" s="18">
        <v>8291.51</v>
      </c>
      <c r="T24" s="18">
        <v>6685.03</v>
      </c>
      <c r="U24" s="18">
        <v>1606.48</v>
      </c>
      <c r="V24" s="16" t="s">
        <v>178</v>
      </c>
      <c r="W24" s="16" t="s">
        <v>122</v>
      </c>
      <c r="X24" s="18">
        <f>IF(OR(O24="",P24="",R24=""),"",O24*P24*(1-R24))</f>
        <v>8291.51</v>
      </c>
      <c r="Y24" s="18">
        <f>IF(OR(X24="",T24=""),"",X24-T24)</f>
        <v>1606.48</v>
      </c>
      <c r="Z24" s="19">
        <f>IFERROR(Y24/X24,"")</f>
        <v>0.1937</v>
      </c>
      <c r="AA24" s="16">
        <f>IF(OR(C24="",D24=""),"",D24-C24)</f>
        <v>2</v>
      </c>
      <c r="AB24" s="16">
        <f>IF(C24="","",MONTH(C24))</f>
        <v>1</v>
      </c>
      <c r="AC24" s="16">
        <f>IF(C24="","",YEAR(C24))</f>
        <v>2025</v>
      </c>
      <c r="AD24" s="16" t="s">
        <v>86</v>
      </c>
      <c r="AE24" s="16" t="s">
        <v>66</v>
      </c>
      <c r="AF24" s="16" t="s">
        <v>179</v>
      </c>
    </row>
    <row r="25" spans="1:32" x14ac:dyDescent="0.25">
      <c r="A25" s="1">
        <v>25</v>
      </c>
      <c r="B25" s="1" t="s">
        <v>180</v>
      </c>
      <c r="C25" s="2">
        <v>45897.77083333333</v>
      </c>
      <c r="D25" s="2">
        <v>45899.77083333333</v>
      </c>
      <c r="E25" s="1" t="s">
        <v>181</v>
      </c>
      <c r="F25" s="1" t="s">
        <v>139</v>
      </c>
      <c r="G25" s="1" t="s">
        <v>114</v>
      </c>
      <c r="H25" s="1" t="s">
        <v>52</v>
      </c>
      <c r="I25" s="1" t="s">
        <v>168</v>
      </c>
      <c r="J25" s="1" t="s">
        <v>169</v>
      </c>
      <c r="K25" s="1" t="s">
        <v>55</v>
      </c>
      <c r="L25" s="1" t="s">
        <v>182</v>
      </c>
      <c r="M25" s="1" t="s">
        <v>183</v>
      </c>
      <c r="N25" s="1" t="s">
        <v>64</v>
      </c>
      <c r="O25" s="1">
        <v>4</v>
      </c>
      <c r="P25" s="3">
        <v>1958.01</v>
      </c>
      <c r="Q25" s="4">
        <v>0.2</v>
      </c>
      <c r="R25" s="4">
        <v>0.2</v>
      </c>
      <c r="S25" s="3">
        <v>6265.63</v>
      </c>
      <c r="T25" s="3">
        <v>4321.86</v>
      </c>
      <c r="U25" s="3">
        <v>1943.77</v>
      </c>
      <c r="V25" s="1" t="s">
        <v>43</v>
      </c>
      <c r="W25" s="1" t="s">
        <v>44</v>
      </c>
      <c r="X25" s="3">
        <f>IF(OR(O25="",P25="",R25=""),"",O25*P25*(1-R25))</f>
        <v>6265.63</v>
      </c>
      <c r="Y25" s="3">
        <f>IF(OR(X25="",T25=""),"",X25-T25)</f>
        <v>1943.77</v>
      </c>
      <c r="Z25" s="4">
        <f>IFERROR(Y25/X25,"")</f>
        <v>0.3102</v>
      </c>
      <c r="AA25" s="1">
        <f>IF(OR(C25="",D25=""),"",D25-C25)</f>
        <v>2</v>
      </c>
      <c r="AB25" s="1">
        <f>IF(C25="","",MONTH(C25))</f>
        <v>8</v>
      </c>
      <c r="AC25" s="1">
        <f>IF(C25="","",YEAR(C25))</f>
        <v>2025</v>
      </c>
      <c r="AD25" s="1" t="s">
        <v>45</v>
      </c>
      <c r="AE25" s="1" t="s">
        <v>46</v>
      </c>
      <c r="AF25" s="1" t="s">
        <v>47</v>
      </c>
    </row>
    <row r="26" spans="1:32" s="10" customFormat="1" x14ac:dyDescent="0.25">
      <c r="A26" s="11">
        <v>26</v>
      </c>
      <c r="B26" s="11" t="s">
        <v>184</v>
      </c>
      <c r="C26" s="12">
        <v>45354.77083333333</v>
      </c>
      <c r="D26" s="12">
        <v>45351.77083333333</v>
      </c>
      <c r="E26" s="11" t="s">
        <v>185</v>
      </c>
      <c r="F26" s="11" t="s">
        <v>186</v>
      </c>
      <c r="G26" s="11" t="s">
        <v>35</v>
      </c>
      <c r="H26" s="11" t="s">
        <v>36</v>
      </c>
      <c r="I26" s="11" t="s">
        <v>143</v>
      </c>
      <c r="J26" s="11" t="s">
        <v>144</v>
      </c>
      <c r="K26" s="11" t="s">
        <v>39</v>
      </c>
      <c r="L26" s="11" t="s">
        <v>62</v>
      </c>
      <c r="M26" s="11" t="s">
        <v>187</v>
      </c>
      <c r="N26" s="11" t="s">
        <v>76</v>
      </c>
      <c r="O26" s="11">
        <v>4</v>
      </c>
      <c r="P26" s="13">
        <v>4492.94</v>
      </c>
      <c r="Q26" s="14">
        <v>0.25</v>
      </c>
      <c r="R26" s="14">
        <v>0.25</v>
      </c>
      <c r="S26" s="13">
        <v>13478.82</v>
      </c>
      <c r="T26" s="13">
        <v>10937.35</v>
      </c>
      <c r="U26" s="13">
        <v>2541.47</v>
      </c>
      <c r="V26" s="11" t="s">
        <v>131</v>
      </c>
      <c r="W26" s="11" t="s">
        <v>85</v>
      </c>
      <c r="X26" s="13">
        <f>IF(OR(O26="",P26="",R26=""),"",O26*P26*(1-R26))</f>
        <v>13478.82</v>
      </c>
      <c r="Y26" s="13">
        <f>IF(OR(X26="",T26=""),"",X26-T26)</f>
        <v>2541.47</v>
      </c>
      <c r="Z26" s="14">
        <f>IFERROR(Y26/X26,"")</f>
        <v>0.1886</v>
      </c>
      <c r="AA26" s="11">
        <f>IF(OR(C26="",D26=""),"",D26-C26)</f>
        <v>-3</v>
      </c>
      <c r="AB26" s="11">
        <f>IF(C26="","",MONTH(C26))</f>
        <v>3</v>
      </c>
      <c r="AC26" s="11">
        <f>IF(C26="","",YEAR(C26))</f>
        <v>2024</v>
      </c>
      <c r="AD26" s="11" t="s">
        <v>65</v>
      </c>
      <c r="AE26" s="11" t="s">
        <v>66</v>
      </c>
      <c r="AF26" s="11" t="s">
        <v>188</v>
      </c>
    </row>
    <row r="27" spans="1:32" x14ac:dyDescent="0.25">
      <c r="A27" s="1">
        <v>27</v>
      </c>
      <c r="B27" s="1" t="s">
        <v>189</v>
      </c>
      <c r="C27" s="2">
        <v>45575.77083333333</v>
      </c>
      <c r="D27" s="2">
        <v>45583.77083333333</v>
      </c>
      <c r="E27" s="1" t="s">
        <v>190</v>
      </c>
      <c r="F27" s="1" t="s">
        <v>70</v>
      </c>
      <c r="G27" s="1" t="s">
        <v>109</v>
      </c>
      <c r="H27" s="1" t="s">
        <v>52</v>
      </c>
      <c r="I27" s="1" t="s">
        <v>191</v>
      </c>
      <c r="J27" s="1" t="s">
        <v>192</v>
      </c>
      <c r="K27" s="1" t="s">
        <v>93</v>
      </c>
      <c r="L27" s="1" t="s">
        <v>94</v>
      </c>
      <c r="M27" s="1" t="s">
        <v>193</v>
      </c>
      <c r="N27" s="1" t="s">
        <v>64</v>
      </c>
      <c r="O27" s="1">
        <v>2</v>
      </c>
      <c r="P27" s="3">
        <v>4315.2</v>
      </c>
      <c r="Q27" s="4">
        <v>0.15</v>
      </c>
      <c r="R27" s="4">
        <v>0.15</v>
      </c>
      <c r="S27" s="3">
        <v>7335.84</v>
      </c>
      <c r="T27" s="3">
        <v>4968.41</v>
      </c>
      <c r="U27" s="3">
        <v>2367.43</v>
      </c>
      <c r="V27" s="1" t="s">
        <v>43</v>
      </c>
      <c r="W27" s="1" t="s">
        <v>44</v>
      </c>
      <c r="X27" s="3">
        <f>IF(OR(O27="",P27="",R27=""),"",O27*P27*(1-R27))</f>
        <v>7335.84</v>
      </c>
      <c r="Y27" s="3">
        <f>IF(OR(X27="",T27=""),"",X27-T27)</f>
        <v>2367.43</v>
      </c>
      <c r="Z27" s="4">
        <f>IFERROR(Y27/X27,"")</f>
        <v>0.3227</v>
      </c>
      <c r="AA27" s="1">
        <f>IF(OR(C27="",D27=""),"",D27-C27)</f>
        <v>8</v>
      </c>
      <c r="AB27" s="1">
        <f>IF(C27="","",MONTH(C27))</f>
        <v>10</v>
      </c>
      <c r="AC27" s="1">
        <f>IF(C27="","",YEAR(C27))</f>
        <v>2024</v>
      </c>
      <c r="AD27" s="1" t="s">
        <v>45</v>
      </c>
      <c r="AE27" s="1" t="s">
        <v>46</v>
      </c>
      <c r="AF27" s="1" t="s">
        <v>47</v>
      </c>
    </row>
    <row r="28" spans="1:32" s="15" customFormat="1" x14ac:dyDescent="0.25">
      <c r="A28" s="16">
        <v>28</v>
      </c>
      <c r="B28" s="16" t="s">
        <v>194</v>
      </c>
      <c r="C28" s="17">
        <v>45618.77083333333</v>
      </c>
      <c r="D28" s="17">
        <v>45618.77083333333</v>
      </c>
      <c r="E28" s="16" t="s">
        <v>195</v>
      </c>
      <c r="F28" s="16" t="s">
        <v>186</v>
      </c>
      <c r="G28" s="16" t="s">
        <v>109</v>
      </c>
      <c r="H28" s="16" t="s">
        <v>36</v>
      </c>
      <c r="I28" s="16" t="s">
        <v>157</v>
      </c>
      <c r="J28" s="16" t="s">
        <v>158</v>
      </c>
      <c r="K28" s="16" t="s">
        <v>93</v>
      </c>
      <c r="L28" s="16" t="s">
        <v>196</v>
      </c>
      <c r="M28" s="16" t="s">
        <v>197</v>
      </c>
      <c r="N28" s="16" t="s">
        <v>76</v>
      </c>
      <c r="O28" s="16">
        <v>4</v>
      </c>
      <c r="P28" s="18">
        <v>716.13</v>
      </c>
      <c r="Q28" s="19">
        <v>0.1</v>
      </c>
      <c r="R28" s="19">
        <v>0.1</v>
      </c>
      <c r="S28" s="18">
        <v>2578.07</v>
      </c>
      <c r="T28" s="18">
        <v>1527.55</v>
      </c>
      <c r="U28" s="18">
        <v>1050.52</v>
      </c>
      <c r="V28" s="16" t="s">
        <v>43</v>
      </c>
      <c r="W28" s="16" t="s">
        <v>122</v>
      </c>
      <c r="X28" s="18">
        <f>IF(OR(O28="",P28="",R28=""),"",O28*P28*(1-R28))</f>
        <v>2578.07</v>
      </c>
      <c r="Y28" s="18">
        <f>IF(OR(X28="",T28=""),"",X28-T28)</f>
        <v>1050.52</v>
      </c>
      <c r="Z28" s="19">
        <f>IFERROR(Y28/X28,"")</f>
        <v>0.4075</v>
      </c>
      <c r="AA28" s="16">
        <f>IF(OR(C28="",D28=""),"",D28-C28)</f>
        <v>0</v>
      </c>
      <c r="AB28" s="16">
        <f>IF(C28="","",MONTH(C28))</f>
        <v>11</v>
      </c>
      <c r="AC28" s="16">
        <f>IF(C28="","",YEAR(C28))</f>
        <v>2024</v>
      </c>
      <c r="AD28" s="16" t="s">
        <v>86</v>
      </c>
      <c r="AE28" s="16" t="s">
        <v>66</v>
      </c>
      <c r="AF28" s="16" t="s">
        <v>198</v>
      </c>
    </row>
    <row r="29" spans="1:32" s="15" customFormat="1" x14ac:dyDescent="0.25">
      <c r="A29" s="16">
        <v>29</v>
      </c>
      <c r="B29" s="16" t="s">
        <v>199</v>
      </c>
      <c r="C29" s="17">
        <v>45928.77083333333</v>
      </c>
      <c r="D29" s="17">
        <v>45934.77083333333</v>
      </c>
      <c r="E29" s="16" t="s">
        <v>200</v>
      </c>
      <c r="F29" s="16" t="s">
        <v>70</v>
      </c>
      <c r="G29" s="16" t="s">
        <v>51</v>
      </c>
      <c r="H29" s="16" t="s">
        <v>71</v>
      </c>
      <c r="I29" s="16" t="s">
        <v>201</v>
      </c>
      <c r="J29" s="16" t="s">
        <v>202</v>
      </c>
      <c r="K29" s="16" t="s">
        <v>39</v>
      </c>
      <c r="L29" s="16" t="s">
        <v>40</v>
      </c>
      <c r="M29" s="16" t="s">
        <v>203</v>
      </c>
      <c r="N29" s="16" t="s">
        <v>42</v>
      </c>
      <c r="O29" s="16">
        <v>5</v>
      </c>
      <c r="P29" s="18">
        <v>1806.51</v>
      </c>
      <c r="Q29" s="19">
        <v>0.25</v>
      </c>
      <c r="R29" s="19">
        <v>0.25</v>
      </c>
      <c r="S29" s="18">
        <v>6774.41</v>
      </c>
      <c r="T29" s="18">
        <v>4710.36</v>
      </c>
      <c r="U29" s="18">
        <v>2064.05</v>
      </c>
      <c r="V29" s="16" t="s">
        <v>178</v>
      </c>
      <c r="W29" s="16" t="s">
        <v>122</v>
      </c>
      <c r="X29" s="18">
        <f>IF(OR(O29="",P29="",R29=""),"",O29*P29*(1-R29))</f>
        <v>6774.41</v>
      </c>
      <c r="Y29" s="18">
        <f>IF(OR(X29="",T29=""),"",X29-T29)</f>
        <v>2064.05</v>
      </c>
      <c r="Z29" s="19">
        <f>IFERROR(Y29/X29,"")</f>
        <v>0.3047</v>
      </c>
      <c r="AA29" s="16">
        <f>IF(OR(C29="",D29=""),"",D29-C29)</f>
        <v>6</v>
      </c>
      <c r="AB29" s="16">
        <f>IF(C29="","",MONTH(C29))</f>
        <v>9</v>
      </c>
      <c r="AC29" s="16">
        <f>IF(C29="","",YEAR(C29))</f>
        <v>2025</v>
      </c>
      <c r="AD29" s="16" t="s">
        <v>86</v>
      </c>
      <c r="AE29" s="16" t="s">
        <v>66</v>
      </c>
      <c r="AF29" s="16" t="s">
        <v>179</v>
      </c>
    </row>
    <row r="30" spans="1:32" s="15" customFormat="1" x14ac:dyDescent="0.25">
      <c r="A30" s="16">
        <v>30</v>
      </c>
      <c r="B30" s="16" t="s">
        <v>204</v>
      </c>
      <c r="C30" s="17">
        <v>45575.77083333333</v>
      </c>
      <c r="D30" s="17">
        <v>45582.77083333333</v>
      </c>
      <c r="E30" s="16" t="s">
        <v>205</v>
      </c>
      <c r="F30" s="16" t="s">
        <v>79</v>
      </c>
      <c r="G30" s="16" t="s">
        <v>114</v>
      </c>
      <c r="H30" s="16" t="s">
        <v>80</v>
      </c>
      <c r="I30" s="16" t="s">
        <v>206</v>
      </c>
      <c r="J30" s="16" t="s">
        <v>207</v>
      </c>
      <c r="K30" s="16" t="s">
        <v>93</v>
      </c>
      <c r="L30" s="16" t="s">
        <v>196</v>
      </c>
      <c r="M30" s="16" t="s">
        <v>208</v>
      </c>
      <c r="N30" s="16" t="s">
        <v>42</v>
      </c>
      <c r="O30" s="16">
        <v>2</v>
      </c>
      <c r="P30" s="18">
        <v>1942.22</v>
      </c>
      <c r="Q30" s="19">
        <v>0.25</v>
      </c>
      <c r="R30" s="19">
        <v>0.25</v>
      </c>
      <c r="S30" s="18">
        <v>2913.33</v>
      </c>
      <c r="T30" s="18">
        <v>2122.33</v>
      </c>
      <c r="U30" s="18">
        <v>791</v>
      </c>
      <c r="V30" s="16" t="s">
        <v>121</v>
      </c>
      <c r="W30" s="16" t="s">
        <v>85</v>
      </c>
      <c r="X30" s="18">
        <f>IF(OR(O30="",P30="",R30=""),"",O30*P30*(1-R30))</f>
        <v>2913.33</v>
      </c>
      <c r="Y30" s="18">
        <f>IF(OR(X30="",T30=""),"",X30-T30)</f>
        <v>791</v>
      </c>
      <c r="Z30" s="19">
        <f>IFERROR(Y30/X30,"")</f>
        <v>0.2715</v>
      </c>
      <c r="AA30" s="16">
        <f>IF(OR(C30="",D30=""),"",D30-C30)</f>
        <v>7</v>
      </c>
      <c r="AB30" s="16">
        <f>IF(C30="","",MONTH(C30))</f>
        <v>10</v>
      </c>
      <c r="AC30" s="16">
        <f>IF(C30="","",YEAR(C30))</f>
        <v>2024</v>
      </c>
      <c r="AD30" s="16" t="s">
        <v>86</v>
      </c>
      <c r="AE30" s="16" t="s">
        <v>66</v>
      </c>
      <c r="AF30" s="16" t="s">
        <v>160</v>
      </c>
    </row>
    <row r="31" spans="1:32" x14ac:dyDescent="0.25">
      <c r="A31" s="1">
        <v>31</v>
      </c>
      <c r="B31" s="1" t="s">
        <v>209</v>
      </c>
      <c r="C31" s="2">
        <v>45881.77083333333</v>
      </c>
      <c r="D31" s="2">
        <v>45881.77083333333</v>
      </c>
      <c r="E31" s="1" t="s">
        <v>210</v>
      </c>
      <c r="F31" s="1" t="s">
        <v>163</v>
      </c>
      <c r="G31" s="1" t="s">
        <v>114</v>
      </c>
      <c r="H31" s="1" t="s">
        <v>71</v>
      </c>
      <c r="I31" s="1" t="s">
        <v>211</v>
      </c>
      <c r="J31" s="1" t="s">
        <v>212</v>
      </c>
      <c r="K31" s="1" t="s">
        <v>93</v>
      </c>
      <c r="L31" s="1" t="s">
        <v>196</v>
      </c>
      <c r="M31" s="1" t="s">
        <v>213</v>
      </c>
      <c r="N31" s="1" t="s">
        <v>76</v>
      </c>
      <c r="O31" s="1">
        <v>1</v>
      </c>
      <c r="P31" s="3">
        <v>256.01</v>
      </c>
      <c r="Q31" s="4">
        <v>0.15</v>
      </c>
      <c r="R31" s="4">
        <v>0.15</v>
      </c>
      <c r="S31" s="3">
        <v>217.61</v>
      </c>
      <c r="T31" s="3">
        <v>119.77</v>
      </c>
      <c r="U31" s="3">
        <v>97.84</v>
      </c>
      <c r="V31" s="1" t="s">
        <v>43</v>
      </c>
      <c r="W31" s="1" t="s">
        <v>44</v>
      </c>
      <c r="X31" s="3">
        <f>IF(OR(O31="",P31="",R31=""),"",O31*P31*(1-R31))</f>
        <v>217.61</v>
      </c>
      <c r="Y31" s="3">
        <f>IF(OR(X31="",T31=""),"",X31-T31)</f>
        <v>97.84</v>
      </c>
      <c r="Z31" s="4">
        <f>IFERROR(Y31/X31,"")</f>
        <v>0.4496</v>
      </c>
      <c r="AA31" s="1">
        <f>IF(OR(C31="",D31=""),"",D31-C31)</f>
        <v>0</v>
      </c>
      <c r="AB31" s="1">
        <f>IF(C31="","",MONTH(C31))</f>
        <v>8</v>
      </c>
      <c r="AC31" s="1">
        <f>IF(C31="","",YEAR(C31))</f>
        <v>2025</v>
      </c>
      <c r="AD31" s="1" t="s">
        <v>45</v>
      </c>
      <c r="AE31" s="1" t="s">
        <v>46</v>
      </c>
      <c r="AF31" s="1" t="s">
        <v>47</v>
      </c>
    </row>
    <row r="32" spans="1:32" x14ac:dyDescent="0.25">
      <c r="A32" s="1">
        <v>32</v>
      </c>
      <c r="B32" s="1" t="s">
        <v>214</v>
      </c>
      <c r="C32" s="2">
        <v>45330.77083333333</v>
      </c>
      <c r="D32" s="2">
        <v>45333.77083333333</v>
      </c>
      <c r="E32" s="1" t="s">
        <v>215</v>
      </c>
      <c r="F32" s="1" t="s">
        <v>79</v>
      </c>
      <c r="G32" s="1" t="s">
        <v>109</v>
      </c>
      <c r="H32" s="1" t="s">
        <v>80</v>
      </c>
      <c r="I32" s="1" t="s">
        <v>216</v>
      </c>
      <c r="J32" s="1" t="s">
        <v>217</v>
      </c>
      <c r="K32" s="1" t="s">
        <v>39</v>
      </c>
      <c r="L32" s="1" t="s">
        <v>110</v>
      </c>
      <c r="M32" s="1" t="s">
        <v>218</v>
      </c>
      <c r="N32" s="1" t="s">
        <v>64</v>
      </c>
      <c r="O32" s="1">
        <v>1</v>
      </c>
      <c r="P32" s="3">
        <v>3421.77</v>
      </c>
      <c r="Q32" s="4">
        <v>0.1</v>
      </c>
      <c r="R32" s="4">
        <v>0.1</v>
      </c>
      <c r="S32" s="3">
        <v>3079.59</v>
      </c>
      <c r="T32" s="3">
        <v>2001.89</v>
      </c>
      <c r="U32" s="3">
        <v>1077.7</v>
      </c>
      <c r="V32" s="1" t="s">
        <v>43</v>
      </c>
      <c r="W32" s="1" t="s">
        <v>44</v>
      </c>
      <c r="X32" s="3">
        <f>IF(OR(O32="",P32="",R32=""),"",O32*P32*(1-R32))</f>
        <v>3079.59</v>
      </c>
      <c r="Y32" s="3">
        <f>IF(OR(X32="",T32=""),"",X32-T32)</f>
        <v>1077.7</v>
      </c>
      <c r="Z32" s="4">
        <f>IFERROR(Y32/X32,"")</f>
        <v>0.3499</v>
      </c>
      <c r="AA32" s="1">
        <f>IF(OR(C32="",D32=""),"",D32-C32)</f>
        <v>3</v>
      </c>
      <c r="AB32" s="1">
        <f>IF(C32="","",MONTH(C32))</f>
        <v>2</v>
      </c>
      <c r="AC32" s="1">
        <f>IF(C32="","",YEAR(C32))</f>
        <v>2024</v>
      </c>
      <c r="AD32" s="1" t="s">
        <v>45</v>
      </c>
      <c r="AE32" s="1" t="s">
        <v>46</v>
      </c>
      <c r="AF32" s="1" t="s">
        <v>47</v>
      </c>
    </row>
    <row r="33" spans="1:32" s="15" customFormat="1" x14ac:dyDescent="0.25">
      <c r="A33" s="16">
        <v>33</v>
      </c>
      <c r="B33" s="16" t="s">
        <v>219</v>
      </c>
      <c r="C33" s="17">
        <v>45822.77083333333</v>
      </c>
      <c r="D33" s="17">
        <v>45826.77083333333</v>
      </c>
      <c r="E33" s="16" t="s">
        <v>220</v>
      </c>
      <c r="F33" s="16" t="s">
        <v>34</v>
      </c>
      <c r="G33" s="16" t="s">
        <v>51</v>
      </c>
      <c r="H33" s="16" t="s">
        <v>80</v>
      </c>
      <c r="I33" s="16" t="s">
        <v>91</v>
      </c>
      <c r="J33" s="16" t="s">
        <v>92</v>
      </c>
      <c r="K33" s="16" t="s">
        <v>39</v>
      </c>
      <c r="L33" s="16" t="s">
        <v>40</v>
      </c>
      <c r="M33" s="16" t="s">
        <v>221</v>
      </c>
      <c r="N33" s="16" t="s">
        <v>42</v>
      </c>
      <c r="O33" s="16">
        <v>9</v>
      </c>
      <c r="P33" s="18">
        <v>3092.55</v>
      </c>
      <c r="Q33" s="19">
        <v>0</v>
      </c>
      <c r="R33" s="19">
        <v>0</v>
      </c>
      <c r="S33" s="18">
        <v>27832.95</v>
      </c>
      <c r="T33" s="18">
        <v>17769.75</v>
      </c>
      <c r="U33" s="18">
        <v>10063.2</v>
      </c>
      <c r="V33" s="16" t="s">
        <v>178</v>
      </c>
      <c r="W33" s="16" t="s">
        <v>122</v>
      </c>
      <c r="X33" s="18">
        <f>IF(OR(O33="",P33="",R33=""),"",O33*P33*(1-R33))</f>
        <v>27832.95</v>
      </c>
      <c r="Y33" s="18">
        <f>IF(OR(X33="",T33=""),"",X33-T33)</f>
        <v>10063.2</v>
      </c>
      <c r="Z33" s="19">
        <f>IFERROR(Y33/X33,"")</f>
        <v>0.3616</v>
      </c>
      <c r="AA33" s="16">
        <f>IF(OR(C33="",D33=""),"",D33-C33)</f>
        <v>4</v>
      </c>
      <c r="AB33" s="16">
        <f>IF(C33="","",MONTH(C33))</f>
        <v>6</v>
      </c>
      <c r="AC33" s="16">
        <f>IF(C33="","",YEAR(C33))</f>
        <v>2025</v>
      </c>
      <c r="AD33" s="16" t="s">
        <v>86</v>
      </c>
      <c r="AE33" s="16" t="s">
        <v>66</v>
      </c>
      <c r="AF33" s="16" t="s">
        <v>179</v>
      </c>
    </row>
    <row r="34" spans="1:32" s="10" customFormat="1" x14ac:dyDescent="0.25">
      <c r="A34" s="11">
        <v>34</v>
      </c>
      <c r="B34" s="11" t="s">
        <v>222</v>
      </c>
      <c r="C34" s="12">
        <v>45617.77083333333</v>
      </c>
      <c r="D34" s="12">
        <v>45621.77083333333</v>
      </c>
      <c r="E34" s="11" t="s">
        <v>223</v>
      </c>
      <c r="F34" s="11" t="s">
        <v>149</v>
      </c>
      <c r="G34" s="11" t="s">
        <v>109</v>
      </c>
      <c r="H34" s="11" t="s">
        <v>71</v>
      </c>
      <c r="I34" s="11" t="s">
        <v>103</v>
      </c>
      <c r="J34" s="11" t="s">
        <v>104</v>
      </c>
      <c r="K34" s="11" t="s">
        <v>93</v>
      </c>
      <c r="L34" s="11" t="s">
        <v>196</v>
      </c>
      <c r="M34" s="11" t="s">
        <v>224</v>
      </c>
      <c r="N34" s="11" t="s">
        <v>42</v>
      </c>
      <c r="O34" s="11">
        <v>3</v>
      </c>
      <c r="P34" s="13">
        <v>4001.25</v>
      </c>
      <c r="Q34" s="14"/>
      <c r="R34" s="14">
        <v>0</v>
      </c>
      <c r="S34" s="13">
        <v>9002.81</v>
      </c>
      <c r="T34" s="13">
        <v>7529.92</v>
      </c>
      <c r="U34" s="13">
        <v>1472.89</v>
      </c>
      <c r="V34" s="11" t="s">
        <v>43</v>
      </c>
      <c r="W34" s="11" t="s">
        <v>44</v>
      </c>
      <c r="X34" s="13">
        <f>IF(OR(O34="",P34="",R34=""),"",O34*P34*(1-R34))</f>
        <v>12003.75</v>
      </c>
      <c r="Y34" s="13">
        <f>IF(OR(X34="",T34=""),"",X34-T34)</f>
        <v>4473.83</v>
      </c>
      <c r="Z34" s="14">
        <f>IFERROR(Y34/X34,"")</f>
        <v>0.3727</v>
      </c>
      <c r="AA34" s="11">
        <f>IF(OR(C34="",D34=""),"",D34-C34)</f>
        <v>4</v>
      </c>
      <c r="AB34" s="11">
        <f>IF(C34="","",MONTH(C34))</f>
        <v>11</v>
      </c>
      <c r="AC34" s="11">
        <f>IF(C34="","",YEAR(C34))</f>
        <v>2024</v>
      </c>
      <c r="AD34" s="11" t="s">
        <v>65</v>
      </c>
      <c r="AE34" s="11" t="s">
        <v>66</v>
      </c>
      <c r="AF34" s="11" t="s">
        <v>225</v>
      </c>
    </row>
    <row r="35" spans="1:32" x14ac:dyDescent="0.25">
      <c r="A35" s="1">
        <v>35</v>
      </c>
      <c r="B35" s="1" t="s">
        <v>226</v>
      </c>
      <c r="C35" s="2">
        <v>45494.77083333333</v>
      </c>
      <c r="D35" s="2">
        <v>45499.77083333333</v>
      </c>
      <c r="E35" s="1" t="s">
        <v>227</v>
      </c>
      <c r="F35" s="1" t="s">
        <v>135</v>
      </c>
      <c r="G35" s="1" t="s">
        <v>114</v>
      </c>
      <c r="H35" s="1" t="s">
        <v>80</v>
      </c>
      <c r="I35" s="1" t="s">
        <v>216</v>
      </c>
      <c r="J35" s="1" t="s">
        <v>217</v>
      </c>
      <c r="K35" s="1" t="s">
        <v>55</v>
      </c>
      <c r="L35" s="1" t="s">
        <v>56</v>
      </c>
      <c r="M35" s="1" t="s">
        <v>228</v>
      </c>
      <c r="N35" s="1" t="s">
        <v>58</v>
      </c>
      <c r="O35" s="1">
        <v>7</v>
      </c>
      <c r="P35" s="3">
        <v>492.41</v>
      </c>
      <c r="Q35" s="4">
        <v>0.25</v>
      </c>
      <c r="R35" s="4">
        <v>0.25</v>
      </c>
      <c r="S35" s="3">
        <v>2585.15</v>
      </c>
      <c r="T35" s="3">
        <v>2070.73</v>
      </c>
      <c r="U35" s="3">
        <v>514.42</v>
      </c>
      <c r="V35" s="1" t="s">
        <v>43</v>
      </c>
      <c r="W35" s="1" t="s">
        <v>44</v>
      </c>
      <c r="X35" s="3">
        <f>IF(OR(O35="",P35="",R35=""),"",O35*P35*(1-R35))</f>
        <v>2585.15</v>
      </c>
      <c r="Y35" s="3">
        <f>IF(OR(X35="",T35=""),"",X35-T35)</f>
        <v>514.42</v>
      </c>
      <c r="Z35" s="4">
        <f>IFERROR(Y35/X35,"")</f>
        <v>0.199</v>
      </c>
      <c r="AA35" s="1">
        <f>IF(OR(C35="",D35=""),"",D35-C35)</f>
        <v>5</v>
      </c>
      <c r="AB35" s="1">
        <f>IF(C35="","",MONTH(C35))</f>
        <v>7</v>
      </c>
      <c r="AC35" s="1">
        <f>IF(C35="","",YEAR(C35))</f>
        <v>2024</v>
      </c>
      <c r="AD35" s="1" t="s">
        <v>45</v>
      </c>
      <c r="AE35" s="1" t="s">
        <v>46</v>
      </c>
      <c r="AF35" s="1" t="s">
        <v>47</v>
      </c>
    </row>
    <row r="36" spans="1:32" s="10" customFormat="1" x14ac:dyDescent="0.25">
      <c r="A36" s="11">
        <v>36</v>
      </c>
      <c r="B36" s="11" t="s">
        <v>229</v>
      </c>
      <c r="C36" s="12">
        <v>45687.77083333333</v>
      </c>
      <c r="D36" s="12">
        <v>45692.77083333333</v>
      </c>
      <c r="E36" s="11" t="s">
        <v>230</v>
      </c>
      <c r="F36" s="11" t="s">
        <v>135</v>
      </c>
      <c r="G36" s="11" t="s">
        <v>114</v>
      </c>
      <c r="H36" s="11" t="s">
        <v>52</v>
      </c>
      <c r="I36" s="11" t="s">
        <v>118</v>
      </c>
      <c r="J36" s="11" t="s">
        <v>119</v>
      </c>
      <c r="K36" s="11" t="s">
        <v>55</v>
      </c>
      <c r="L36" s="11" t="s">
        <v>83</v>
      </c>
      <c r="M36" s="11" t="s">
        <v>231</v>
      </c>
      <c r="N36" s="11" t="s">
        <v>232</v>
      </c>
      <c r="O36" s="11">
        <v>2</v>
      </c>
      <c r="P36" s="13">
        <v>4159.69</v>
      </c>
      <c r="Q36" s="14">
        <v>0.2</v>
      </c>
      <c r="R36" s="14">
        <v>0.2</v>
      </c>
      <c r="S36" s="13">
        <v>6655.5</v>
      </c>
      <c r="T36" s="13">
        <v>4340.21</v>
      </c>
      <c r="U36" s="13">
        <v>2607.32</v>
      </c>
      <c r="V36" s="11" t="s">
        <v>43</v>
      </c>
      <c r="W36" s="11" t="s">
        <v>44</v>
      </c>
      <c r="X36" s="13">
        <f>IF(OR(O36="",P36="",R36=""),"",O36*P36*(1-R36))</f>
        <v>6655.5</v>
      </c>
      <c r="Y36" s="13">
        <f>IF(OR(X36="",T36=""),"",X36-T36)</f>
        <v>2315.29</v>
      </c>
      <c r="Z36" s="14">
        <f>IFERROR(Y36/X36,"")</f>
        <v>0.3479</v>
      </c>
      <c r="AA36" s="11">
        <f>IF(OR(C36="",D36=""),"",D36-C36)</f>
        <v>5</v>
      </c>
      <c r="AB36" s="11">
        <f>IF(C36="","",MONTH(C36))</f>
        <v>1</v>
      </c>
      <c r="AC36" s="11">
        <f>IF(C36="","",YEAR(C36))</f>
        <v>2025</v>
      </c>
      <c r="AD36" s="11" t="s">
        <v>65</v>
      </c>
      <c r="AE36" s="11" t="s">
        <v>66</v>
      </c>
      <c r="AF36" s="11" t="s">
        <v>233</v>
      </c>
    </row>
    <row r="37" spans="1:32" s="15" customFormat="1" x14ac:dyDescent="0.25">
      <c r="A37" s="16">
        <v>37</v>
      </c>
      <c r="B37" s="16" t="s">
        <v>234</v>
      </c>
      <c r="C37" s="17">
        <v>45440.77083333333</v>
      </c>
      <c r="D37" s="17">
        <v>45440.77083333333</v>
      </c>
      <c r="E37" s="16" t="s">
        <v>235</v>
      </c>
      <c r="F37" s="16" t="s">
        <v>153</v>
      </c>
      <c r="G37" s="16" t="s">
        <v>51</v>
      </c>
      <c r="H37" s="16" t="s">
        <v>80</v>
      </c>
      <c r="I37" s="16" t="s">
        <v>206</v>
      </c>
      <c r="J37" s="16" t="s">
        <v>207</v>
      </c>
      <c r="K37" s="16" t="s">
        <v>55</v>
      </c>
      <c r="L37" s="16" t="s">
        <v>182</v>
      </c>
      <c r="M37" s="16" t="s">
        <v>236</v>
      </c>
      <c r="N37" s="16" t="s">
        <v>42</v>
      </c>
      <c r="O37" s="16">
        <v>8</v>
      </c>
      <c r="P37" s="18">
        <v>2507.12</v>
      </c>
      <c r="Q37" s="19">
        <v>0.05</v>
      </c>
      <c r="R37" s="19">
        <v>0.05</v>
      </c>
      <c r="S37" s="18">
        <v>19054.11</v>
      </c>
      <c r="T37" s="18">
        <v>15313.83</v>
      </c>
      <c r="U37" s="18">
        <v>3740.28</v>
      </c>
      <c r="V37" s="16" t="s">
        <v>131</v>
      </c>
      <c r="W37" s="16" t="s">
        <v>122</v>
      </c>
      <c r="X37" s="18">
        <f>IF(OR(O37="",P37="",R37=""),"",O37*P37*(1-R37))</f>
        <v>19054.11</v>
      </c>
      <c r="Y37" s="18">
        <f>IF(OR(X37="",T37=""),"",X37-T37)</f>
        <v>3740.28</v>
      </c>
      <c r="Z37" s="19">
        <f>IFERROR(Y37/X37,"")</f>
        <v>0.1963</v>
      </c>
      <c r="AA37" s="16">
        <f>IF(OR(C37="",D37=""),"",D37-C37)</f>
        <v>0</v>
      </c>
      <c r="AB37" s="16">
        <f>IF(C37="","",MONTH(C37))</f>
        <v>5</v>
      </c>
      <c r="AC37" s="16">
        <f>IF(C37="","",YEAR(C37))</f>
        <v>2024</v>
      </c>
      <c r="AD37" s="16" t="s">
        <v>86</v>
      </c>
      <c r="AE37" s="16" t="s">
        <v>66</v>
      </c>
      <c r="AF37" s="16" t="s">
        <v>132</v>
      </c>
    </row>
    <row r="38" spans="1:32" s="15" customFormat="1" x14ac:dyDescent="0.25">
      <c r="A38" s="16">
        <v>38</v>
      </c>
      <c r="B38" s="16" t="s">
        <v>237</v>
      </c>
      <c r="C38" s="17">
        <v>45589.77083333333</v>
      </c>
      <c r="D38" s="17">
        <v>45592.77083333333</v>
      </c>
      <c r="E38" s="16" t="s">
        <v>238</v>
      </c>
      <c r="F38" s="16" t="s">
        <v>163</v>
      </c>
      <c r="G38" s="16" t="s">
        <v>109</v>
      </c>
      <c r="H38" s="16" t="s">
        <v>80</v>
      </c>
      <c r="I38" s="16" t="s">
        <v>81</v>
      </c>
      <c r="J38" s="16" t="s">
        <v>82</v>
      </c>
      <c r="K38" s="16" t="s">
        <v>55</v>
      </c>
      <c r="L38" s="16" t="s">
        <v>182</v>
      </c>
      <c r="M38" s="16" t="s">
        <v>239</v>
      </c>
      <c r="N38" s="16" t="s">
        <v>42</v>
      </c>
      <c r="O38" s="16">
        <v>3</v>
      </c>
      <c r="P38" s="18">
        <v>3126.47</v>
      </c>
      <c r="Q38" s="19">
        <v>0</v>
      </c>
      <c r="R38" s="19">
        <v>0</v>
      </c>
      <c r="S38" s="18">
        <v>9379.41</v>
      </c>
      <c r="T38" s="18">
        <v>6670.85</v>
      </c>
      <c r="U38" s="18">
        <v>2708.56</v>
      </c>
      <c r="V38" s="16" t="s">
        <v>43</v>
      </c>
      <c r="W38" s="16" t="s">
        <v>122</v>
      </c>
      <c r="X38" s="18">
        <f>IF(OR(O38="",P38="",R38=""),"",O38*P38*(1-R38))</f>
        <v>9379.41</v>
      </c>
      <c r="Y38" s="18">
        <f>IF(OR(X38="",T38=""),"",X38-T38)</f>
        <v>2708.56</v>
      </c>
      <c r="Z38" s="19">
        <f>IFERROR(Y38/X38,"")</f>
        <v>0.2888</v>
      </c>
      <c r="AA38" s="16">
        <f>IF(OR(C38="",D38=""),"",D38-C38)</f>
        <v>3</v>
      </c>
      <c r="AB38" s="16">
        <f>IF(C38="","",MONTH(C38))</f>
        <v>10</v>
      </c>
      <c r="AC38" s="16">
        <f>IF(C38="","",YEAR(C38))</f>
        <v>2024</v>
      </c>
      <c r="AD38" s="16" t="s">
        <v>86</v>
      </c>
      <c r="AE38" s="16" t="s">
        <v>66</v>
      </c>
      <c r="AF38" s="16" t="s">
        <v>198</v>
      </c>
    </row>
    <row r="39" spans="1:32" x14ac:dyDescent="0.25">
      <c r="A39" s="1">
        <v>39</v>
      </c>
      <c r="B39" s="1" t="s">
        <v>240</v>
      </c>
      <c r="C39" s="2">
        <v>45866.77083333333</v>
      </c>
      <c r="D39" s="2">
        <v>45866.77083333333</v>
      </c>
      <c r="E39" s="1" t="s">
        <v>241</v>
      </c>
      <c r="F39" s="1" t="s">
        <v>186</v>
      </c>
      <c r="G39" s="1" t="s">
        <v>35</v>
      </c>
      <c r="H39" s="1" t="s">
        <v>80</v>
      </c>
      <c r="I39" s="1" t="s">
        <v>81</v>
      </c>
      <c r="J39" s="1" t="s">
        <v>82</v>
      </c>
      <c r="K39" s="1" t="s">
        <v>93</v>
      </c>
      <c r="L39" s="1" t="s">
        <v>99</v>
      </c>
      <c r="M39" s="1" t="s">
        <v>242</v>
      </c>
      <c r="N39" s="1" t="s">
        <v>76</v>
      </c>
      <c r="O39" s="1">
        <v>4</v>
      </c>
      <c r="P39" s="3">
        <v>1327.54</v>
      </c>
      <c r="Q39" s="4">
        <v>0.2</v>
      </c>
      <c r="R39" s="4">
        <v>0.2</v>
      </c>
      <c r="S39" s="3">
        <v>4248.13</v>
      </c>
      <c r="T39" s="3">
        <v>3321.09</v>
      </c>
      <c r="U39" s="3">
        <v>927.04</v>
      </c>
      <c r="V39" s="1" t="s">
        <v>43</v>
      </c>
      <c r="W39" s="1" t="s">
        <v>44</v>
      </c>
      <c r="X39" s="3">
        <f>IF(OR(O39="",P39="",R39=""),"",O39*P39*(1-R39))</f>
        <v>4248.13</v>
      </c>
      <c r="Y39" s="3">
        <f>IF(OR(X39="",T39=""),"",X39-T39)</f>
        <v>927.04</v>
      </c>
      <c r="Z39" s="4">
        <f>IFERROR(Y39/X39,"")</f>
        <v>0.2182</v>
      </c>
      <c r="AA39" s="1">
        <f>IF(OR(C39="",D39=""),"",D39-C39)</f>
        <v>0</v>
      </c>
      <c r="AB39" s="1">
        <f>IF(C39="","",MONTH(C39))</f>
        <v>7</v>
      </c>
      <c r="AC39" s="1">
        <f>IF(C39="","",YEAR(C39))</f>
        <v>2025</v>
      </c>
      <c r="AD39" s="1" t="s">
        <v>45</v>
      </c>
      <c r="AE39" s="1" t="s">
        <v>46</v>
      </c>
      <c r="AF39" s="1" t="s">
        <v>47</v>
      </c>
    </row>
    <row r="40" spans="1:32" x14ac:dyDescent="0.25">
      <c r="A40" s="1">
        <v>40</v>
      </c>
      <c r="B40" s="1" t="s">
        <v>243</v>
      </c>
      <c r="C40" s="2">
        <v>45459.77083333333</v>
      </c>
      <c r="D40" s="2">
        <v>45464.77083333333</v>
      </c>
      <c r="E40" s="1" t="s">
        <v>244</v>
      </c>
      <c r="F40" s="1" t="s">
        <v>149</v>
      </c>
      <c r="G40" s="1" t="s">
        <v>109</v>
      </c>
      <c r="H40" s="1" t="s">
        <v>80</v>
      </c>
      <c r="I40" s="1" t="s">
        <v>206</v>
      </c>
      <c r="J40" s="1" t="s">
        <v>207</v>
      </c>
      <c r="K40" s="1" t="s">
        <v>93</v>
      </c>
      <c r="L40" s="1" t="s">
        <v>196</v>
      </c>
      <c r="M40" s="1" t="s">
        <v>245</v>
      </c>
      <c r="N40" s="1" t="s">
        <v>64</v>
      </c>
      <c r="O40" s="1">
        <v>7</v>
      </c>
      <c r="P40" s="3">
        <v>2210.68</v>
      </c>
      <c r="Q40" s="4">
        <v>0.1</v>
      </c>
      <c r="R40" s="4">
        <v>0.1</v>
      </c>
      <c r="S40" s="3">
        <v>13927.28</v>
      </c>
      <c r="T40" s="3">
        <v>10504.87</v>
      </c>
      <c r="U40" s="3">
        <v>3422.41</v>
      </c>
      <c r="V40" s="1" t="s">
        <v>43</v>
      </c>
      <c r="W40" s="1" t="s">
        <v>44</v>
      </c>
      <c r="X40" s="3">
        <f>IF(OR(O40="",P40="",R40=""),"",O40*P40*(1-R40))</f>
        <v>13927.28</v>
      </c>
      <c r="Y40" s="3">
        <f>IF(OR(X40="",T40=""),"",X40-T40)</f>
        <v>3422.41</v>
      </c>
      <c r="Z40" s="4">
        <f>IFERROR(Y40/X40,"")</f>
        <v>0.2457</v>
      </c>
      <c r="AA40" s="1">
        <f>IF(OR(C40="",D40=""),"",D40-C40)</f>
        <v>5</v>
      </c>
      <c r="AB40" s="1">
        <f>IF(C40="","",MONTH(C40))</f>
        <v>6</v>
      </c>
      <c r="AC40" s="1">
        <f>IF(C40="","",YEAR(C40))</f>
        <v>2024</v>
      </c>
      <c r="AD40" s="1" t="s">
        <v>45</v>
      </c>
      <c r="AE40" s="1" t="s">
        <v>46</v>
      </c>
      <c r="AF40" s="1" t="s">
        <v>47</v>
      </c>
    </row>
    <row r="41" spans="1:32" s="15" customFormat="1" x14ac:dyDescent="0.25">
      <c r="A41" s="16">
        <v>41</v>
      </c>
      <c r="B41" s="16" t="s">
        <v>246</v>
      </c>
      <c r="C41" s="17">
        <v>45636.77083333333</v>
      </c>
      <c r="D41" s="17">
        <v>45636.77083333333</v>
      </c>
      <c r="E41" s="16" t="s">
        <v>247</v>
      </c>
      <c r="F41" s="16" t="s">
        <v>50</v>
      </c>
      <c r="G41" s="16" t="s">
        <v>51</v>
      </c>
      <c r="H41" s="16" t="s">
        <v>80</v>
      </c>
      <c r="I41" s="16" t="s">
        <v>91</v>
      </c>
      <c r="J41" s="16" t="s">
        <v>92</v>
      </c>
      <c r="K41" s="16" t="s">
        <v>93</v>
      </c>
      <c r="L41" s="16" t="s">
        <v>99</v>
      </c>
      <c r="M41" s="16" t="s">
        <v>248</v>
      </c>
      <c r="N41" s="16" t="s">
        <v>64</v>
      </c>
      <c r="O41" s="16">
        <v>4</v>
      </c>
      <c r="P41" s="18">
        <v>1370.92</v>
      </c>
      <c r="Q41" s="19">
        <v>0.1</v>
      </c>
      <c r="R41" s="19">
        <v>0.1</v>
      </c>
      <c r="S41" s="18">
        <v>4935.31</v>
      </c>
      <c r="T41" s="18">
        <v>3374.77</v>
      </c>
      <c r="U41" s="18">
        <v>1560.54</v>
      </c>
      <c r="V41" s="16" t="s">
        <v>131</v>
      </c>
      <c r="W41" s="16" t="s">
        <v>122</v>
      </c>
      <c r="X41" s="18">
        <f>IF(OR(O41="",P41="",R41=""),"",O41*P41*(1-R41))</f>
        <v>4935.31</v>
      </c>
      <c r="Y41" s="18">
        <f>IF(OR(X41="",T41=""),"",X41-T41)</f>
        <v>1560.54</v>
      </c>
      <c r="Z41" s="19">
        <f>IFERROR(Y41/X41,"")</f>
        <v>0.3162</v>
      </c>
      <c r="AA41" s="16">
        <f>IF(OR(C41="",D41=""),"",D41-C41)</f>
        <v>0</v>
      </c>
      <c r="AB41" s="16">
        <f>IF(C41="","",MONTH(C41))</f>
        <v>12</v>
      </c>
      <c r="AC41" s="16">
        <f>IF(C41="","",YEAR(C41))</f>
        <v>2024</v>
      </c>
      <c r="AD41" s="16" t="s">
        <v>86</v>
      </c>
      <c r="AE41" s="16" t="s">
        <v>66</v>
      </c>
      <c r="AF41" s="16" t="s">
        <v>132</v>
      </c>
    </row>
    <row r="42" spans="1:32" x14ac:dyDescent="0.25">
      <c r="A42" s="1">
        <v>42</v>
      </c>
      <c r="B42" s="1" t="s">
        <v>249</v>
      </c>
      <c r="C42" s="2">
        <v>45574.77083333333</v>
      </c>
      <c r="D42" s="2">
        <v>45580.77083333333</v>
      </c>
      <c r="E42" s="1" t="s">
        <v>250</v>
      </c>
      <c r="F42" s="1" t="s">
        <v>61</v>
      </c>
      <c r="G42" s="1" t="s">
        <v>114</v>
      </c>
      <c r="H42" s="1" t="s">
        <v>80</v>
      </c>
      <c r="I42" s="1" t="s">
        <v>37</v>
      </c>
      <c r="J42" s="1" t="s">
        <v>129</v>
      </c>
      <c r="K42" s="1" t="s">
        <v>93</v>
      </c>
      <c r="L42" s="1" t="s">
        <v>99</v>
      </c>
      <c r="M42" s="1" t="s">
        <v>251</v>
      </c>
      <c r="N42" s="1" t="s">
        <v>76</v>
      </c>
      <c r="O42" s="1">
        <v>7</v>
      </c>
      <c r="P42" s="3">
        <v>2509.27</v>
      </c>
      <c r="Q42" s="4">
        <v>0.2</v>
      </c>
      <c r="R42" s="4">
        <v>0.2</v>
      </c>
      <c r="S42" s="3">
        <v>14051.91</v>
      </c>
      <c r="T42" s="3">
        <v>11990.37</v>
      </c>
      <c r="U42" s="3">
        <v>2061.54</v>
      </c>
      <c r="V42" s="1" t="s">
        <v>43</v>
      </c>
      <c r="W42" s="1" t="s">
        <v>44</v>
      </c>
      <c r="X42" s="3">
        <f>IF(OR(O42="",P42="",R42=""),"",O42*P42*(1-R42))</f>
        <v>14051.91</v>
      </c>
      <c r="Y42" s="3">
        <f>IF(OR(X42="",T42=""),"",X42-T42)</f>
        <v>2061.54</v>
      </c>
      <c r="Z42" s="4">
        <f>IFERROR(Y42/X42,"")</f>
        <v>0.1467</v>
      </c>
      <c r="AA42" s="1">
        <f>IF(OR(C42="",D42=""),"",D42-C42)</f>
        <v>6</v>
      </c>
      <c r="AB42" s="1">
        <f>IF(C42="","",MONTH(C42))</f>
        <v>10</v>
      </c>
      <c r="AC42" s="1">
        <f>IF(C42="","",YEAR(C42))</f>
        <v>2024</v>
      </c>
      <c r="AD42" s="1" t="s">
        <v>45</v>
      </c>
      <c r="AE42" s="1" t="s">
        <v>46</v>
      </c>
      <c r="AF42" s="1" t="s">
        <v>47</v>
      </c>
    </row>
    <row r="43" spans="1:32" s="15" customFormat="1" x14ac:dyDescent="0.25">
      <c r="A43" s="16">
        <v>43</v>
      </c>
      <c r="B43" s="16" t="s">
        <v>252</v>
      </c>
      <c r="C43" s="17">
        <v>45362.77083333333</v>
      </c>
      <c r="D43" s="17">
        <v>45367.77083333333</v>
      </c>
      <c r="E43" s="16" t="s">
        <v>253</v>
      </c>
      <c r="F43" s="16" t="s">
        <v>149</v>
      </c>
      <c r="G43" s="16" t="s">
        <v>51</v>
      </c>
      <c r="H43" s="16" t="s">
        <v>52</v>
      </c>
      <c r="I43" s="16" t="s">
        <v>53</v>
      </c>
      <c r="J43" s="16" t="s">
        <v>54</v>
      </c>
      <c r="K43" s="16" t="s">
        <v>55</v>
      </c>
      <c r="L43" s="16" t="s">
        <v>182</v>
      </c>
      <c r="M43" s="16" t="s">
        <v>254</v>
      </c>
      <c r="N43" s="16" t="s">
        <v>58</v>
      </c>
      <c r="O43" s="16">
        <v>8</v>
      </c>
      <c r="P43" s="18">
        <v>855.81</v>
      </c>
      <c r="Q43" s="19">
        <v>0</v>
      </c>
      <c r="R43" s="19">
        <v>0</v>
      </c>
      <c r="S43" s="18">
        <v>6846.48</v>
      </c>
      <c r="T43" s="18">
        <v>4239.89</v>
      </c>
      <c r="U43" s="18">
        <v>2606.59</v>
      </c>
      <c r="V43" s="16" t="s">
        <v>131</v>
      </c>
      <c r="W43" s="16" t="s">
        <v>85</v>
      </c>
      <c r="X43" s="18">
        <f>IF(OR(O43="",P43="",R43=""),"",O43*P43*(1-R43))</f>
        <v>6846.48</v>
      </c>
      <c r="Y43" s="18">
        <f>IF(OR(X43="",T43=""),"",X43-T43)</f>
        <v>2606.59</v>
      </c>
      <c r="Z43" s="19">
        <f>IFERROR(Y43/X43,"")</f>
        <v>0.3807</v>
      </c>
      <c r="AA43" s="16">
        <f>IF(OR(C43="",D43=""),"",D43-C43)</f>
        <v>5</v>
      </c>
      <c r="AB43" s="16">
        <f>IF(C43="","",MONTH(C43))</f>
        <v>3</v>
      </c>
      <c r="AC43" s="16">
        <f>IF(C43="","",YEAR(C43))</f>
        <v>2024</v>
      </c>
      <c r="AD43" s="16" t="s">
        <v>86</v>
      </c>
      <c r="AE43" s="16" t="s">
        <v>66</v>
      </c>
      <c r="AF43" s="16" t="s">
        <v>255</v>
      </c>
    </row>
    <row r="44" spans="1:32" x14ac:dyDescent="0.25">
      <c r="A44" s="1">
        <v>44</v>
      </c>
      <c r="B44" s="1" t="s">
        <v>256</v>
      </c>
      <c r="C44" s="2">
        <v>45939.77083333333</v>
      </c>
      <c r="D44" s="2">
        <v>45944.77083333333</v>
      </c>
      <c r="E44" s="1" t="s">
        <v>257</v>
      </c>
      <c r="F44" s="1" t="s">
        <v>70</v>
      </c>
      <c r="G44" s="1" t="s">
        <v>109</v>
      </c>
      <c r="H44" s="1" t="s">
        <v>52</v>
      </c>
      <c r="I44" s="1" t="s">
        <v>258</v>
      </c>
      <c r="J44" s="1" t="s">
        <v>259</v>
      </c>
      <c r="K44" s="1" t="s">
        <v>93</v>
      </c>
      <c r="L44" s="1" t="s">
        <v>196</v>
      </c>
      <c r="M44" s="1" t="s">
        <v>260</v>
      </c>
      <c r="N44" s="1" t="s">
        <v>76</v>
      </c>
      <c r="O44" s="1">
        <v>8</v>
      </c>
      <c r="P44" s="3">
        <v>979.87</v>
      </c>
      <c r="Q44" s="4">
        <v>0.05</v>
      </c>
      <c r="R44" s="4">
        <v>0.05</v>
      </c>
      <c r="S44" s="3">
        <v>7447.01</v>
      </c>
      <c r="T44" s="3">
        <v>4496.22</v>
      </c>
      <c r="U44" s="3">
        <v>2950.79</v>
      </c>
      <c r="V44" s="1" t="s">
        <v>43</v>
      </c>
      <c r="W44" s="1" t="s">
        <v>44</v>
      </c>
      <c r="X44" s="3">
        <f>IF(OR(O44="",P44="",R44=""),"",O44*P44*(1-R44))</f>
        <v>7447.01</v>
      </c>
      <c r="Y44" s="3">
        <f>IF(OR(X44="",T44=""),"",X44-T44)</f>
        <v>2950.79</v>
      </c>
      <c r="Z44" s="4">
        <f>IFERROR(Y44/X44,"")</f>
        <v>0.3962</v>
      </c>
      <c r="AA44" s="1">
        <f>IF(OR(C44="",D44=""),"",D44-C44)</f>
        <v>5</v>
      </c>
      <c r="AB44" s="1">
        <f>IF(C44="","",MONTH(C44))</f>
        <v>10</v>
      </c>
      <c r="AC44" s="1">
        <f>IF(C44="","",YEAR(C44))</f>
        <v>2025</v>
      </c>
      <c r="AD44" s="1" t="s">
        <v>45</v>
      </c>
      <c r="AE44" s="1" t="s">
        <v>46</v>
      </c>
      <c r="AF44" s="1" t="s">
        <v>47</v>
      </c>
    </row>
    <row r="45" spans="1:32" x14ac:dyDescent="0.25">
      <c r="A45" s="1">
        <v>45</v>
      </c>
      <c r="B45" s="1" t="s">
        <v>261</v>
      </c>
      <c r="C45" s="2">
        <v>45480.77083333333</v>
      </c>
      <c r="D45" s="2">
        <v>45486.77083333333</v>
      </c>
      <c r="E45" s="1" t="s">
        <v>262</v>
      </c>
      <c r="F45" s="1" t="s">
        <v>135</v>
      </c>
      <c r="G45" s="1" t="s">
        <v>51</v>
      </c>
      <c r="H45" s="1" t="s">
        <v>52</v>
      </c>
      <c r="I45" s="1" t="s">
        <v>53</v>
      </c>
      <c r="J45" s="1" t="s">
        <v>54</v>
      </c>
      <c r="K45" s="1" t="s">
        <v>55</v>
      </c>
      <c r="L45" s="1" t="s">
        <v>74</v>
      </c>
      <c r="M45" s="1" t="s">
        <v>263</v>
      </c>
      <c r="N45" s="1" t="s">
        <v>58</v>
      </c>
      <c r="O45" s="1">
        <v>3</v>
      </c>
      <c r="P45" s="3">
        <v>1010.23</v>
      </c>
      <c r="Q45" s="4">
        <v>0</v>
      </c>
      <c r="R45" s="4">
        <v>0</v>
      </c>
      <c r="S45" s="3">
        <v>3030.69</v>
      </c>
      <c r="T45" s="3">
        <v>1721.08</v>
      </c>
      <c r="U45" s="3">
        <v>1309.61</v>
      </c>
      <c r="V45" s="1" t="s">
        <v>43</v>
      </c>
      <c r="W45" s="1" t="s">
        <v>44</v>
      </c>
      <c r="X45" s="3">
        <f>IF(OR(O45="",P45="",R45=""),"",O45*P45*(1-R45))</f>
        <v>3030.69</v>
      </c>
      <c r="Y45" s="3">
        <f>IF(OR(X45="",T45=""),"",X45-T45)</f>
        <v>1309.61</v>
      </c>
      <c r="Z45" s="4">
        <f>IFERROR(Y45/X45,"")</f>
        <v>0.4321</v>
      </c>
      <c r="AA45" s="1">
        <f>IF(OR(C45="",D45=""),"",D45-C45)</f>
        <v>6</v>
      </c>
      <c r="AB45" s="1">
        <f>IF(C45="","",MONTH(C45))</f>
        <v>7</v>
      </c>
      <c r="AC45" s="1">
        <f>IF(C45="","",YEAR(C45))</f>
        <v>2024</v>
      </c>
      <c r="AD45" s="1" t="s">
        <v>45</v>
      </c>
      <c r="AE45" s="1" t="s">
        <v>46</v>
      </c>
      <c r="AF45" s="1" t="s">
        <v>47</v>
      </c>
    </row>
    <row r="46" spans="1:32" x14ac:dyDescent="0.25">
      <c r="A46" s="1">
        <v>46</v>
      </c>
      <c r="B46" s="1" t="s">
        <v>264</v>
      </c>
      <c r="C46" s="2">
        <v>45464.77083333333</v>
      </c>
      <c r="D46" s="2">
        <v>45467.77083333333</v>
      </c>
      <c r="E46" s="1" t="s">
        <v>265</v>
      </c>
      <c r="F46" s="1" t="s">
        <v>163</v>
      </c>
      <c r="G46" s="1" t="s">
        <v>51</v>
      </c>
      <c r="H46" s="1" t="s">
        <v>36</v>
      </c>
      <c r="I46" s="1" t="s">
        <v>266</v>
      </c>
      <c r="J46" s="1" t="s">
        <v>267</v>
      </c>
      <c r="K46" s="1" t="s">
        <v>55</v>
      </c>
      <c r="L46" s="1" t="s">
        <v>83</v>
      </c>
      <c r="M46" s="1" t="s">
        <v>268</v>
      </c>
      <c r="N46" s="1" t="s">
        <v>76</v>
      </c>
      <c r="O46" s="1">
        <v>9</v>
      </c>
      <c r="P46" s="3">
        <v>3329.77</v>
      </c>
      <c r="Q46" s="4">
        <v>0.1</v>
      </c>
      <c r="R46" s="4">
        <v>0.1</v>
      </c>
      <c r="S46" s="3">
        <v>26971.14</v>
      </c>
      <c r="T46" s="3">
        <v>17376.2</v>
      </c>
      <c r="U46" s="3">
        <v>9594.94</v>
      </c>
      <c r="V46" s="1" t="s">
        <v>43</v>
      </c>
      <c r="W46" s="1" t="s">
        <v>44</v>
      </c>
      <c r="X46" s="3">
        <f>IF(OR(O46="",P46="",R46=""),"",O46*P46*(1-R46))</f>
        <v>26971.14</v>
      </c>
      <c r="Y46" s="3">
        <f>IF(OR(X46="",T46=""),"",X46-T46)</f>
        <v>9594.94</v>
      </c>
      <c r="Z46" s="4">
        <f>IFERROR(Y46/X46,"")</f>
        <v>0.3557</v>
      </c>
      <c r="AA46" s="1">
        <f>IF(OR(C46="",D46=""),"",D46-C46)</f>
        <v>3</v>
      </c>
      <c r="AB46" s="1">
        <f>IF(C46="","",MONTH(C46))</f>
        <v>6</v>
      </c>
      <c r="AC46" s="1">
        <f>IF(C46="","",YEAR(C46))</f>
        <v>2024</v>
      </c>
      <c r="AD46" s="1" t="s">
        <v>45</v>
      </c>
      <c r="AE46" s="1" t="s">
        <v>46</v>
      </c>
      <c r="AF46" s="1" t="s">
        <v>47</v>
      </c>
    </row>
    <row r="47" spans="1:32" s="15" customFormat="1" x14ac:dyDescent="0.25">
      <c r="A47" s="16">
        <v>47</v>
      </c>
      <c r="B47" s="16" t="s">
        <v>269</v>
      </c>
      <c r="C47" s="17">
        <v>45308.77083333333</v>
      </c>
      <c r="D47" s="17">
        <v>45314.77083333333</v>
      </c>
      <c r="E47" s="16" t="s">
        <v>270</v>
      </c>
      <c r="F47" s="16" t="s">
        <v>61</v>
      </c>
      <c r="G47" s="16" t="s">
        <v>114</v>
      </c>
      <c r="H47" s="16" t="s">
        <v>52</v>
      </c>
      <c r="I47" s="16" t="s">
        <v>168</v>
      </c>
      <c r="J47" s="16" t="s">
        <v>169</v>
      </c>
      <c r="K47" s="16" t="s">
        <v>39</v>
      </c>
      <c r="L47" s="16" t="s">
        <v>62</v>
      </c>
      <c r="M47" s="16" t="s">
        <v>271</v>
      </c>
      <c r="N47" s="16" t="s">
        <v>42</v>
      </c>
      <c r="O47" s="16">
        <v>8</v>
      </c>
      <c r="P47" s="18">
        <v>3927.82</v>
      </c>
      <c r="Q47" s="19">
        <v>0.05</v>
      </c>
      <c r="R47" s="19">
        <v>0.05</v>
      </c>
      <c r="S47" s="18">
        <v>29851.43</v>
      </c>
      <c r="T47" s="18">
        <v>17487.48</v>
      </c>
      <c r="U47" s="18">
        <v>12363.95</v>
      </c>
      <c r="V47" s="16" t="s">
        <v>131</v>
      </c>
      <c r="W47" s="16" t="s">
        <v>122</v>
      </c>
      <c r="X47" s="18">
        <f>IF(OR(O47="",P47="",R47=""),"",O47*P47*(1-R47))</f>
        <v>29851.43</v>
      </c>
      <c r="Y47" s="18">
        <f>IF(OR(X47="",T47=""),"",X47-T47)</f>
        <v>12363.95</v>
      </c>
      <c r="Z47" s="19">
        <f>IFERROR(Y47/X47,"")</f>
        <v>0.4142</v>
      </c>
      <c r="AA47" s="16">
        <f>IF(OR(C47="",D47=""),"",D47-C47)</f>
        <v>6</v>
      </c>
      <c r="AB47" s="16">
        <f>IF(C47="","",MONTH(C47))</f>
        <v>1</v>
      </c>
      <c r="AC47" s="16">
        <f>IF(C47="","",YEAR(C47))</f>
        <v>2024</v>
      </c>
      <c r="AD47" s="16" t="s">
        <v>86</v>
      </c>
      <c r="AE47" s="16" t="s">
        <v>66</v>
      </c>
      <c r="AF47" s="16" t="s">
        <v>132</v>
      </c>
    </row>
    <row r="48" spans="1:32" s="15" customFormat="1" x14ac:dyDescent="0.25">
      <c r="A48" s="16">
        <v>48</v>
      </c>
      <c r="B48" s="16" t="s">
        <v>272</v>
      </c>
      <c r="C48" s="17">
        <v>45491.77083333333</v>
      </c>
      <c r="D48" s="17">
        <v>45491.77083333333</v>
      </c>
      <c r="E48" s="16" t="s">
        <v>273</v>
      </c>
      <c r="F48" s="16" t="s">
        <v>79</v>
      </c>
      <c r="G48" s="16" t="s">
        <v>51</v>
      </c>
      <c r="H48" s="16" t="s">
        <v>71</v>
      </c>
      <c r="I48" s="16" t="s">
        <v>211</v>
      </c>
      <c r="J48" s="16" t="s">
        <v>212</v>
      </c>
      <c r="K48" s="16" t="s">
        <v>55</v>
      </c>
      <c r="L48" s="16" t="s">
        <v>182</v>
      </c>
      <c r="M48" s="16" t="s">
        <v>274</v>
      </c>
      <c r="N48" s="16" t="s">
        <v>76</v>
      </c>
      <c r="O48" s="16">
        <v>9</v>
      </c>
      <c r="P48" s="18">
        <v>2386.79</v>
      </c>
      <c r="Q48" s="19">
        <v>0.25</v>
      </c>
      <c r="R48" s="19">
        <v>0.25</v>
      </c>
      <c r="S48" s="18">
        <v>16110.83</v>
      </c>
      <c r="T48" s="18">
        <v>10680.03</v>
      </c>
      <c r="U48" s="18">
        <v>5430.8</v>
      </c>
      <c r="V48" s="16" t="s">
        <v>121</v>
      </c>
      <c r="W48" s="16" t="s">
        <v>122</v>
      </c>
      <c r="X48" s="18">
        <f>IF(OR(O48="",P48="",R48=""),"",O48*P48*(1-R48))</f>
        <v>16110.83</v>
      </c>
      <c r="Y48" s="18">
        <f>IF(OR(X48="",T48=""),"",X48-T48)</f>
        <v>5430.8</v>
      </c>
      <c r="Z48" s="19">
        <f>IFERROR(Y48/X48,"")</f>
        <v>0.3371</v>
      </c>
      <c r="AA48" s="16">
        <f>IF(OR(C48="",D48=""),"",D48-C48)</f>
        <v>0</v>
      </c>
      <c r="AB48" s="16">
        <f>IF(C48="","",MONTH(C48))</f>
        <v>7</v>
      </c>
      <c r="AC48" s="16">
        <f>IF(C48="","",YEAR(C48))</f>
        <v>2024</v>
      </c>
      <c r="AD48" s="16" t="s">
        <v>86</v>
      </c>
      <c r="AE48" s="16" t="s">
        <v>66</v>
      </c>
      <c r="AF48" s="16" t="s">
        <v>123</v>
      </c>
    </row>
    <row r="49" spans="1:32" x14ac:dyDescent="0.25">
      <c r="A49" s="1">
        <v>49</v>
      </c>
      <c r="B49" s="1" t="s">
        <v>275</v>
      </c>
      <c r="C49" s="2">
        <v>45515.77083333333</v>
      </c>
      <c r="D49" s="2">
        <v>45515.77083333333</v>
      </c>
      <c r="E49" s="1" t="s">
        <v>276</v>
      </c>
      <c r="F49" s="1" t="s">
        <v>139</v>
      </c>
      <c r="G49" s="1" t="s">
        <v>109</v>
      </c>
      <c r="H49" s="1" t="s">
        <v>71</v>
      </c>
      <c r="I49" s="1" t="s">
        <v>277</v>
      </c>
      <c r="J49" s="1" t="s">
        <v>278</v>
      </c>
      <c r="K49" s="1" t="s">
        <v>39</v>
      </c>
      <c r="L49" s="1" t="s">
        <v>145</v>
      </c>
      <c r="M49" s="1" t="s">
        <v>279</v>
      </c>
      <c r="N49" s="1" t="s">
        <v>76</v>
      </c>
      <c r="O49" s="1">
        <v>8</v>
      </c>
      <c r="P49" s="3">
        <v>2445.31</v>
      </c>
      <c r="Q49" s="4">
        <v>0.1</v>
      </c>
      <c r="R49" s="4">
        <v>0.1</v>
      </c>
      <c r="S49" s="3">
        <v>17606.23</v>
      </c>
      <c r="T49" s="3">
        <v>12438.96</v>
      </c>
      <c r="U49" s="3">
        <v>5167.27</v>
      </c>
      <c r="V49" s="1" t="s">
        <v>43</v>
      </c>
      <c r="W49" s="1" t="s">
        <v>44</v>
      </c>
      <c r="X49" s="3">
        <f>IF(OR(O49="",P49="",R49=""),"",O49*P49*(1-R49))</f>
        <v>17606.23</v>
      </c>
      <c r="Y49" s="3">
        <f>IF(OR(X49="",T49=""),"",X49-T49)</f>
        <v>5167.27</v>
      </c>
      <c r="Z49" s="4">
        <f>IFERROR(Y49/X49,"")</f>
        <v>0.2935</v>
      </c>
      <c r="AA49" s="1">
        <f>IF(OR(C49="",D49=""),"",D49-C49)</f>
        <v>0</v>
      </c>
      <c r="AB49" s="1">
        <f>IF(C49="","",MONTH(C49))</f>
        <v>8</v>
      </c>
      <c r="AC49" s="1">
        <f>IF(C49="","",YEAR(C49))</f>
        <v>2024</v>
      </c>
      <c r="AD49" s="1" t="s">
        <v>45</v>
      </c>
      <c r="AE49" s="1" t="s">
        <v>46</v>
      </c>
      <c r="AF49" s="1" t="s">
        <v>47</v>
      </c>
    </row>
    <row r="50" spans="1:32" x14ac:dyDescent="0.25">
      <c r="A50" s="1">
        <v>50</v>
      </c>
      <c r="B50" s="1" t="s">
        <v>280</v>
      </c>
      <c r="C50" s="2">
        <v>45686.77083333333</v>
      </c>
      <c r="D50" s="2">
        <v>45692.77083333333</v>
      </c>
      <c r="E50" s="1" t="s">
        <v>281</v>
      </c>
      <c r="F50" s="1" t="s">
        <v>98</v>
      </c>
      <c r="G50" s="1" t="s">
        <v>109</v>
      </c>
      <c r="H50" s="1" t="s">
        <v>80</v>
      </c>
      <c r="I50" s="1" t="s">
        <v>81</v>
      </c>
      <c r="J50" s="1" t="s">
        <v>82</v>
      </c>
      <c r="K50" s="1" t="s">
        <v>55</v>
      </c>
      <c r="L50" s="1" t="s">
        <v>83</v>
      </c>
      <c r="M50" s="1" t="s">
        <v>282</v>
      </c>
      <c r="N50" s="1" t="s">
        <v>42</v>
      </c>
      <c r="O50" s="1">
        <v>7</v>
      </c>
      <c r="P50" s="3">
        <v>4063.66</v>
      </c>
      <c r="Q50" s="4">
        <v>0</v>
      </c>
      <c r="R50" s="4">
        <v>0</v>
      </c>
      <c r="S50" s="3">
        <v>28445.62</v>
      </c>
      <c r="T50" s="3">
        <v>20938.59</v>
      </c>
      <c r="U50" s="3">
        <v>7507.03</v>
      </c>
      <c r="V50" s="1" t="s">
        <v>43</v>
      </c>
      <c r="W50" s="1" t="s">
        <v>44</v>
      </c>
      <c r="X50" s="3">
        <f>IF(OR(O50="",P50="",R50=""),"",O50*P50*(1-R50))</f>
        <v>28445.62</v>
      </c>
      <c r="Y50" s="3">
        <f>IF(OR(X50="",T50=""),"",X50-T50)</f>
        <v>7507.03</v>
      </c>
      <c r="Z50" s="4">
        <f>IFERROR(Y50/X50,"")</f>
        <v>0.2639</v>
      </c>
      <c r="AA50" s="1">
        <f>IF(OR(C50="",D50=""),"",D50-C50)</f>
        <v>6</v>
      </c>
      <c r="AB50" s="1">
        <f>IF(C50="","",MONTH(C50))</f>
        <v>1</v>
      </c>
      <c r="AC50" s="1">
        <f>IF(C50="","",YEAR(C50))</f>
        <v>2025</v>
      </c>
      <c r="AD50" s="1" t="s">
        <v>45</v>
      </c>
      <c r="AE50" s="1" t="s">
        <v>46</v>
      </c>
      <c r="AF50" s="1" t="s">
        <v>47</v>
      </c>
    </row>
    <row r="51" spans="1:32" x14ac:dyDescent="0.25">
      <c r="A51" s="1">
        <v>51</v>
      </c>
      <c r="B51" s="1" t="s">
        <v>283</v>
      </c>
      <c r="C51" s="2">
        <v>45387.77083333333</v>
      </c>
      <c r="D51" s="2">
        <v>45394.77083333333</v>
      </c>
      <c r="E51" s="1" t="s">
        <v>284</v>
      </c>
      <c r="F51" s="1" t="s">
        <v>149</v>
      </c>
      <c r="G51" s="1" t="s">
        <v>114</v>
      </c>
      <c r="H51" s="1" t="s">
        <v>36</v>
      </c>
      <c r="I51" s="1" t="s">
        <v>157</v>
      </c>
      <c r="J51" s="1" t="s">
        <v>158</v>
      </c>
      <c r="K51" s="1" t="s">
        <v>93</v>
      </c>
      <c r="L51" s="1" t="s">
        <v>99</v>
      </c>
      <c r="M51" s="1" t="s">
        <v>285</v>
      </c>
      <c r="N51" s="1" t="s">
        <v>42</v>
      </c>
      <c r="O51" s="1">
        <v>9</v>
      </c>
      <c r="P51" s="3">
        <v>792.11</v>
      </c>
      <c r="Q51" s="4">
        <v>0.05</v>
      </c>
      <c r="R51" s="4">
        <v>0.05</v>
      </c>
      <c r="S51" s="3">
        <v>6772.54</v>
      </c>
      <c r="T51" s="3">
        <v>5755.46</v>
      </c>
      <c r="U51" s="3">
        <v>1017.08</v>
      </c>
      <c r="V51" s="1" t="s">
        <v>43</v>
      </c>
      <c r="W51" s="1" t="s">
        <v>44</v>
      </c>
      <c r="X51" s="3">
        <f>IF(OR(O51="",P51="",R51=""),"",O51*P51*(1-R51))</f>
        <v>6772.54</v>
      </c>
      <c r="Y51" s="3">
        <f>IF(OR(X51="",T51=""),"",X51-T51)</f>
        <v>1017.08</v>
      </c>
      <c r="Z51" s="4">
        <f>IFERROR(Y51/X51,"")</f>
        <v>0.1502</v>
      </c>
      <c r="AA51" s="1">
        <f>IF(OR(C51="",D51=""),"",D51-C51)</f>
        <v>7</v>
      </c>
      <c r="AB51" s="1">
        <f>IF(C51="","",MONTH(C51))</f>
        <v>4</v>
      </c>
      <c r="AC51" s="1">
        <f>IF(C51="","",YEAR(C51))</f>
        <v>2024</v>
      </c>
      <c r="AD51" s="1" t="s">
        <v>45</v>
      </c>
      <c r="AE51" s="1" t="s">
        <v>46</v>
      </c>
      <c r="AF51" s="1" t="s">
        <v>47</v>
      </c>
    </row>
    <row r="52" spans="1:32" x14ac:dyDescent="0.25">
      <c r="A52" s="1">
        <v>52</v>
      </c>
      <c r="B52" s="1" t="s">
        <v>286</v>
      </c>
      <c r="C52" s="2">
        <v>45787.77083333333</v>
      </c>
      <c r="D52" s="2">
        <v>45795.77083333333</v>
      </c>
      <c r="E52" s="1" t="s">
        <v>287</v>
      </c>
      <c r="F52" s="1" t="s">
        <v>153</v>
      </c>
      <c r="G52" s="1" t="s">
        <v>35</v>
      </c>
      <c r="H52" s="1" t="s">
        <v>52</v>
      </c>
      <c r="I52" s="1" t="s">
        <v>118</v>
      </c>
      <c r="J52" s="1" t="s">
        <v>119</v>
      </c>
      <c r="K52" s="1" t="s">
        <v>93</v>
      </c>
      <c r="L52" s="1" t="s">
        <v>99</v>
      </c>
      <c r="M52" s="1" t="s">
        <v>288</v>
      </c>
      <c r="N52" s="1" t="s">
        <v>76</v>
      </c>
      <c r="O52" s="1">
        <v>1</v>
      </c>
      <c r="P52" s="3">
        <v>2382.8</v>
      </c>
      <c r="Q52" s="4">
        <v>0.15</v>
      </c>
      <c r="R52" s="4">
        <v>0.15</v>
      </c>
      <c r="S52" s="3">
        <v>2025.38</v>
      </c>
      <c r="T52" s="3">
        <v>1140.65</v>
      </c>
      <c r="U52" s="3">
        <v>884.73</v>
      </c>
      <c r="V52" s="1" t="s">
        <v>43</v>
      </c>
      <c r="W52" s="1" t="s">
        <v>44</v>
      </c>
      <c r="X52" s="3">
        <f>IF(OR(O52="",P52="",R52=""),"",O52*P52*(1-R52))</f>
        <v>2025.38</v>
      </c>
      <c r="Y52" s="3">
        <f>IF(OR(X52="",T52=""),"",X52-T52)</f>
        <v>884.73</v>
      </c>
      <c r="Z52" s="4">
        <f>IFERROR(Y52/X52,"")</f>
        <v>0.4368</v>
      </c>
      <c r="AA52" s="1">
        <f>IF(OR(C52="",D52=""),"",D52-C52)</f>
        <v>8</v>
      </c>
      <c r="AB52" s="1">
        <f>IF(C52="","",MONTH(C52))</f>
        <v>5</v>
      </c>
      <c r="AC52" s="1">
        <f>IF(C52="","",YEAR(C52))</f>
        <v>2025</v>
      </c>
      <c r="AD52" s="1" t="s">
        <v>45</v>
      </c>
      <c r="AE52" s="1" t="s">
        <v>46</v>
      </c>
      <c r="AF52" s="1" t="s">
        <v>47</v>
      </c>
    </row>
    <row r="53" spans="1:32" x14ac:dyDescent="0.25">
      <c r="A53" s="1">
        <v>53</v>
      </c>
      <c r="B53" s="1" t="s">
        <v>289</v>
      </c>
      <c r="C53" s="2">
        <v>45405.77083333333</v>
      </c>
      <c r="D53" s="2">
        <v>45410.77083333333</v>
      </c>
      <c r="E53" s="1" t="s">
        <v>290</v>
      </c>
      <c r="F53" s="1" t="s">
        <v>79</v>
      </c>
      <c r="G53" s="1" t="s">
        <v>109</v>
      </c>
      <c r="H53" s="1" t="s">
        <v>71</v>
      </c>
      <c r="I53" s="1" t="s">
        <v>72</v>
      </c>
      <c r="J53" s="1" t="s">
        <v>73</v>
      </c>
      <c r="K53" s="1" t="s">
        <v>39</v>
      </c>
      <c r="L53" s="1" t="s">
        <v>62</v>
      </c>
      <c r="M53" s="1" t="s">
        <v>291</v>
      </c>
      <c r="N53" s="1" t="s">
        <v>76</v>
      </c>
      <c r="O53" s="1">
        <v>6</v>
      </c>
      <c r="P53" s="3">
        <v>1528.08</v>
      </c>
      <c r="Q53" s="4">
        <v>0</v>
      </c>
      <c r="R53" s="4">
        <v>0</v>
      </c>
      <c r="S53" s="3">
        <v>9168.48</v>
      </c>
      <c r="T53" s="3">
        <v>7439.77</v>
      </c>
      <c r="U53" s="3">
        <v>1728.71</v>
      </c>
      <c r="V53" s="1" t="s">
        <v>43</v>
      </c>
      <c r="W53" s="1" t="s">
        <v>44</v>
      </c>
      <c r="X53" s="3">
        <f>IF(OR(O53="",P53="",R53=""),"",O53*P53*(1-R53))</f>
        <v>9168.48</v>
      </c>
      <c r="Y53" s="3">
        <f>IF(OR(X53="",T53=""),"",X53-T53)</f>
        <v>1728.71</v>
      </c>
      <c r="Z53" s="4">
        <f>IFERROR(Y53/X53,"")</f>
        <v>0.1885</v>
      </c>
      <c r="AA53" s="1">
        <f>IF(OR(C53="",D53=""),"",D53-C53)</f>
        <v>5</v>
      </c>
      <c r="AB53" s="1">
        <f>IF(C53="","",MONTH(C53))</f>
        <v>4</v>
      </c>
      <c r="AC53" s="1">
        <f>IF(C53="","",YEAR(C53))</f>
        <v>2024</v>
      </c>
      <c r="AD53" s="1" t="s">
        <v>45</v>
      </c>
      <c r="AE53" s="1" t="s">
        <v>46</v>
      </c>
      <c r="AF53" s="1" t="s">
        <v>47</v>
      </c>
    </row>
    <row r="54" spans="1:32" s="15" customFormat="1" x14ac:dyDescent="0.25">
      <c r="A54" s="16">
        <v>54</v>
      </c>
      <c r="B54" s="16" t="s">
        <v>292</v>
      </c>
      <c r="C54" s="17">
        <v>45590.77083333333</v>
      </c>
      <c r="D54" s="17">
        <v>45592.77083333333</v>
      </c>
      <c r="E54" s="16" t="s">
        <v>293</v>
      </c>
      <c r="F54" s="16" t="s">
        <v>294</v>
      </c>
      <c r="G54" s="16" t="s">
        <v>51</v>
      </c>
      <c r="H54" s="16" t="s">
        <v>36</v>
      </c>
      <c r="I54" s="16" t="s">
        <v>37</v>
      </c>
      <c r="J54" s="16" t="s">
        <v>38</v>
      </c>
      <c r="K54" s="16" t="s">
        <v>55</v>
      </c>
      <c r="L54" s="16" t="s">
        <v>83</v>
      </c>
      <c r="M54" s="16" t="s">
        <v>295</v>
      </c>
      <c r="N54" s="16" t="s">
        <v>64</v>
      </c>
      <c r="O54" s="16">
        <v>9</v>
      </c>
      <c r="P54" s="18">
        <v>1399.63</v>
      </c>
      <c r="Q54" s="19">
        <v>0</v>
      </c>
      <c r="R54" s="19">
        <v>0</v>
      </c>
      <c r="S54" s="18">
        <v>12596.67</v>
      </c>
      <c r="T54" s="18">
        <v>10603.29</v>
      </c>
      <c r="U54" s="18">
        <v>1993.38</v>
      </c>
      <c r="V54" s="16" t="s">
        <v>178</v>
      </c>
      <c r="W54" s="16" t="s">
        <v>85</v>
      </c>
      <c r="X54" s="18">
        <f>IF(OR(O54="",P54="",R54=""),"",O54*P54*(1-R54))</f>
        <v>12596.67</v>
      </c>
      <c r="Y54" s="18">
        <f>IF(OR(X54="",T54=""),"",X54-T54)</f>
        <v>1993.38</v>
      </c>
      <c r="Z54" s="19">
        <f>IFERROR(Y54/X54,"")</f>
        <v>0.1582</v>
      </c>
      <c r="AA54" s="16">
        <f>IF(OR(C54="",D54=""),"",D54-C54)</f>
        <v>2</v>
      </c>
      <c r="AB54" s="16">
        <f>IF(C54="","",MONTH(C54))</f>
        <v>10</v>
      </c>
      <c r="AC54" s="16">
        <f>IF(C54="","",YEAR(C54))</f>
        <v>2024</v>
      </c>
      <c r="AD54" s="16" t="s">
        <v>86</v>
      </c>
      <c r="AE54" s="16" t="s">
        <v>66</v>
      </c>
      <c r="AF54" s="16" t="s">
        <v>296</v>
      </c>
    </row>
    <row r="55" spans="1:32" x14ac:dyDescent="0.25">
      <c r="A55" s="1">
        <v>55</v>
      </c>
      <c r="B55" s="1" t="s">
        <v>297</v>
      </c>
      <c r="C55" s="2">
        <v>45746.77083333333</v>
      </c>
      <c r="D55" s="2">
        <v>45746.77083333333</v>
      </c>
      <c r="E55" s="1" t="s">
        <v>298</v>
      </c>
      <c r="F55" s="1" t="s">
        <v>294</v>
      </c>
      <c r="G55" s="1" t="s">
        <v>114</v>
      </c>
      <c r="H55" s="1" t="s">
        <v>80</v>
      </c>
      <c r="I55" s="1" t="s">
        <v>206</v>
      </c>
      <c r="J55" s="1" t="s">
        <v>207</v>
      </c>
      <c r="K55" s="1" t="s">
        <v>39</v>
      </c>
      <c r="L55" s="1" t="s">
        <v>145</v>
      </c>
      <c r="M55" s="1" t="s">
        <v>299</v>
      </c>
      <c r="N55" s="1" t="s">
        <v>64</v>
      </c>
      <c r="O55" s="1">
        <v>5</v>
      </c>
      <c r="P55" s="3">
        <v>1207.47</v>
      </c>
      <c r="Q55" s="4">
        <v>0.15</v>
      </c>
      <c r="R55" s="4">
        <v>0.15</v>
      </c>
      <c r="S55" s="3">
        <v>5131.75</v>
      </c>
      <c r="T55" s="3">
        <v>2838.68</v>
      </c>
      <c r="U55" s="3">
        <v>2293.07</v>
      </c>
      <c r="V55" s="1" t="s">
        <v>43</v>
      </c>
      <c r="W55" s="1" t="s">
        <v>44</v>
      </c>
      <c r="X55" s="3">
        <f>IF(OR(O55="",P55="",R55=""),"",O55*P55*(1-R55))</f>
        <v>5131.75</v>
      </c>
      <c r="Y55" s="3">
        <f>IF(OR(X55="",T55=""),"",X55-T55)</f>
        <v>2293.07</v>
      </c>
      <c r="Z55" s="4">
        <f>IFERROR(Y55/X55,"")</f>
        <v>0.4468</v>
      </c>
      <c r="AA55" s="1">
        <f>IF(OR(C55="",D55=""),"",D55-C55)</f>
        <v>0</v>
      </c>
      <c r="AB55" s="1">
        <f>IF(C55="","",MONTH(C55))</f>
        <v>3</v>
      </c>
      <c r="AC55" s="1">
        <f>IF(C55="","",YEAR(C55))</f>
        <v>2025</v>
      </c>
      <c r="AD55" s="1" t="s">
        <v>45</v>
      </c>
      <c r="AE55" s="1" t="s">
        <v>46</v>
      </c>
      <c r="AF55" s="1" t="s">
        <v>47</v>
      </c>
    </row>
    <row r="56" spans="1:32" s="15" customFormat="1" x14ac:dyDescent="0.25">
      <c r="A56" s="16">
        <v>56</v>
      </c>
      <c r="B56" s="16" t="s">
        <v>300</v>
      </c>
      <c r="C56" s="17">
        <v>45806.77083333333</v>
      </c>
      <c r="D56" s="17">
        <v>45809.77083333333</v>
      </c>
      <c r="E56" s="16" t="s">
        <v>301</v>
      </c>
      <c r="F56" s="16" t="s">
        <v>70</v>
      </c>
      <c r="G56" s="16" t="s">
        <v>109</v>
      </c>
      <c r="H56" s="16" t="s">
        <v>71</v>
      </c>
      <c r="I56" s="16" t="s">
        <v>277</v>
      </c>
      <c r="J56" s="16" t="s">
        <v>278</v>
      </c>
      <c r="K56" s="16" t="s">
        <v>39</v>
      </c>
      <c r="L56" s="16" t="s">
        <v>110</v>
      </c>
      <c r="M56" s="16" t="s">
        <v>302</v>
      </c>
      <c r="N56" s="16" t="s">
        <v>58</v>
      </c>
      <c r="O56" s="16">
        <v>8</v>
      </c>
      <c r="P56" s="18">
        <v>474.37</v>
      </c>
      <c r="Q56" s="19">
        <v>0.1</v>
      </c>
      <c r="R56" s="19">
        <v>0.1</v>
      </c>
      <c r="S56" s="18">
        <v>3415.46</v>
      </c>
      <c r="T56" s="18">
        <v>1993.23</v>
      </c>
      <c r="U56" s="18">
        <v>1422.23</v>
      </c>
      <c r="V56" s="16" t="s">
        <v>178</v>
      </c>
      <c r="W56" s="16" t="s">
        <v>85</v>
      </c>
      <c r="X56" s="18">
        <f>IF(OR(O56="",P56="",R56=""),"",O56*P56*(1-R56))</f>
        <v>3415.46</v>
      </c>
      <c r="Y56" s="18">
        <f>IF(OR(X56="",T56=""),"",X56-T56)</f>
        <v>1422.23</v>
      </c>
      <c r="Z56" s="19">
        <f>IFERROR(Y56/X56,"")</f>
        <v>0.4164</v>
      </c>
      <c r="AA56" s="16">
        <f>IF(OR(C56="",D56=""),"",D56-C56)</f>
        <v>3</v>
      </c>
      <c r="AB56" s="16">
        <f>IF(C56="","",MONTH(C56))</f>
        <v>5</v>
      </c>
      <c r="AC56" s="16">
        <f>IF(C56="","",YEAR(C56))</f>
        <v>2025</v>
      </c>
      <c r="AD56" s="16" t="s">
        <v>86</v>
      </c>
      <c r="AE56" s="16" t="s">
        <v>66</v>
      </c>
      <c r="AF56" s="16" t="s">
        <v>296</v>
      </c>
    </row>
    <row r="57" spans="1:32" x14ac:dyDescent="0.25">
      <c r="A57" s="1">
        <v>57</v>
      </c>
      <c r="B57" s="1" t="s">
        <v>303</v>
      </c>
      <c r="C57" s="2">
        <v>45838.77083333333</v>
      </c>
      <c r="D57" s="2">
        <v>45840.77083333333</v>
      </c>
      <c r="E57" s="1" t="s">
        <v>304</v>
      </c>
      <c r="F57" s="1" t="s">
        <v>50</v>
      </c>
      <c r="G57" s="1" t="s">
        <v>51</v>
      </c>
      <c r="H57" s="1" t="s">
        <v>71</v>
      </c>
      <c r="I57" s="1" t="s">
        <v>103</v>
      </c>
      <c r="J57" s="1" t="s">
        <v>104</v>
      </c>
      <c r="K57" s="1" t="s">
        <v>93</v>
      </c>
      <c r="L57" s="1" t="s">
        <v>305</v>
      </c>
      <c r="M57" s="1" t="s">
        <v>306</v>
      </c>
      <c r="N57" s="1" t="s">
        <v>58</v>
      </c>
      <c r="O57" s="1">
        <v>3</v>
      </c>
      <c r="P57" s="3">
        <v>1516.24</v>
      </c>
      <c r="Q57" s="4">
        <v>0.25</v>
      </c>
      <c r="R57" s="4">
        <v>0.25</v>
      </c>
      <c r="S57" s="3">
        <v>3411.54</v>
      </c>
      <c r="T57" s="3">
        <v>2803.13</v>
      </c>
      <c r="U57" s="3">
        <v>608.41</v>
      </c>
      <c r="V57" s="1" t="s">
        <v>43</v>
      </c>
      <c r="W57" s="1" t="s">
        <v>44</v>
      </c>
      <c r="X57" s="3">
        <f>IF(OR(O57="",P57="",R57=""),"",O57*P57*(1-R57))</f>
        <v>3411.54</v>
      </c>
      <c r="Y57" s="3">
        <f>IF(OR(X57="",T57=""),"",X57-T57)</f>
        <v>608.41</v>
      </c>
      <c r="Z57" s="4">
        <f>IFERROR(Y57/X57,"")</f>
        <v>0.1783</v>
      </c>
      <c r="AA57" s="1">
        <f>IF(OR(C57="",D57=""),"",D57-C57)</f>
        <v>2</v>
      </c>
      <c r="AB57" s="1">
        <f>IF(C57="","",MONTH(C57))</f>
        <v>7</v>
      </c>
      <c r="AC57" s="1">
        <f>IF(C57="","",YEAR(C57))</f>
        <v>2025</v>
      </c>
      <c r="AD57" s="1" t="s">
        <v>45</v>
      </c>
      <c r="AE57" s="1" t="s">
        <v>46</v>
      </c>
      <c r="AF57" s="1" t="s">
        <v>47</v>
      </c>
    </row>
    <row r="58" spans="1:32" s="15" customFormat="1" x14ac:dyDescent="0.25">
      <c r="A58" s="16">
        <v>58</v>
      </c>
      <c r="B58" s="16" t="s">
        <v>307</v>
      </c>
      <c r="C58" s="17">
        <v>45661.77083333333</v>
      </c>
      <c r="D58" s="17">
        <v>45662.77083333333</v>
      </c>
      <c r="E58" s="16" t="s">
        <v>308</v>
      </c>
      <c r="F58" s="16" t="s">
        <v>34</v>
      </c>
      <c r="G58" s="16" t="s">
        <v>35</v>
      </c>
      <c r="H58" s="16" t="s">
        <v>71</v>
      </c>
      <c r="I58" s="16" t="s">
        <v>201</v>
      </c>
      <c r="J58" s="16" t="s">
        <v>202</v>
      </c>
      <c r="K58" s="16" t="s">
        <v>39</v>
      </c>
      <c r="L58" s="16" t="s">
        <v>176</v>
      </c>
      <c r="M58" s="16" t="s">
        <v>309</v>
      </c>
      <c r="N58" s="16" t="s">
        <v>42</v>
      </c>
      <c r="O58" s="16">
        <v>3</v>
      </c>
      <c r="P58" s="18">
        <v>3155.61</v>
      </c>
      <c r="Q58" s="19">
        <v>0</v>
      </c>
      <c r="R58" s="19">
        <v>0</v>
      </c>
      <c r="S58" s="18">
        <v>9466.83</v>
      </c>
      <c r="T58" s="18">
        <v>6557.83</v>
      </c>
      <c r="U58" s="18">
        <v>2909</v>
      </c>
      <c r="V58" s="16" t="s">
        <v>121</v>
      </c>
      <c r="W58" s="16" t="s">
        <v>85</v>
      </c>
      <c r="X58" s="18">
        <f>IF(OR(O58="",P58="",R58=""),"",O58*P58*(1-R58))</f>
        <v>9466.83</v>
      </c>
      <c r="Y58" s="18">
        <f>IF(OR(X58="",T58=""),"",X58-T58)</f>
        <v>2909</v>
      </c>
      <c r="Z58" s="19">
        <f>IFERROR(Y58/X58,"")</f>
        <v>0.3073</v>
      </c>
      <c r="AA58" s="16">
        <f>IF(OR(C58="",D58=""),"",D58-C58)</f>
        <v>1</v>
      </c>
      <c r="AB58" s="16">
        <f>IF(C58="","",MONTH(C58))</f>
        <v>1</v>
      </c>
      <c r="AC58" s="16">
        <f>IF(C58="","",YEAR(C58))</f>
        <v>2025</v>
      </c>
      <c r="AD58" s="16" t="s">
        <v>86</v>
      </c>
      <c r="AE58" s="16" t="s">
        <v>66</v>
      </c>
      <c r="AF58" s="16" t="s">
        <v>160</v>
      </c>
    </row>
    <row r="59" spans="1:32" x14ac:dyDescent="0.25">
      <c r="A59" s="1">
        <v>59</v>
      </c>
      <c r="B59" s="1" t="s">
        <v>310</v>
      </c>
      <c r="C59" s="2">
        <v>45328.77083333333</v>
      </c>
      <c r="D59" s="2">
        <v>45336.77083333333</v>
      </c>
      <c r="E59" s="1" t="s">
        <v>311</v>
      </c>
      <c r="F59" s="1" t="s">
        <v>135</v>
      </c>
      <c r="G59" s="1" t="s">
        <v>35</v>
      </c>
      <c r="H59" s="1" t="s">
        <v>80</v>
      </c>
      <c r="I59" s="1" t="s">
        <v>216</v>
      </c>
      <c r="J59" s="1" t="s">
        <v>217</v>
      </c>
      <c r="K59" s="1" t="s">
        <v>55</v>
      </c>
      <c r="L59" s="1" t="s">
        <v>83</v>
      </c>
      <c r="M59" s="1" t="s">
        <v>312</v>
      </c>
      <c r="N59" s="1" t="s">
        <v>58</v>
      </c>
      <c r="O59" s="1">
        <v>5</v>
      </c>
      <c r="P59" s="3">
        <v>255.87</v>
      </c>
      <c r="Q59" s="4">
        <v>0</v>
      </c>
      <c r="R59" s="4">
        <v>0</v>
      </c>
      <c r="S59" s="3">
        <v>1279.35</v>
      </c>
      <c r="T59" s="3">
        <v>1091.54</v>
      </c>
      <c r="U59" s="3">
        <v>187.81</v>
      </c>
      <c r="V59" s="1" t="s">
        <v>43</v>
      </c>
      <c r="W59" s="1" t="s">
        <v>44</v>
      </c>
      <c r="X59" s="3">
        <f>IF(OR(O59="",P59="",R59=""),"",O59*P59*(1-R59))</f>
        <v>1279.35</v>
      </c>
      <c r="Y59" s="3">
        <f>IF(OR(X59="",T59=""),"",X59-T59)</f>
        <v>187.81</v>
      </c>
      <c r="Z59" s="4">
        <f>IFERROR(Y59/X59,"")</f>
        <v>0.1468</v>
      </c>
      <c r="AA59" s="1">
        <f>IF(OR(C59="",D59=""),"",D59-C59)</f>
        <v>8</v>
      </c>
      <c r="AB59" s="1">
        <f>IF(C59="","",MONTH(C59))</f>
        <v>2</v>
      </c>
      <c r="AC59" s="1">
        <f>IF(C59="","",YEAR(C59))</f>
        <v>2024</v>
      </c>
      <c r="AD59" s="1" t="s">
        <v>45</v>
      </c>
      <c r="AE59" s="1" t="s">
        <v>46</v>
      </c>
      <c r="AF59" s="1" t="s">
        <v>47</v>
      </c>
    </row>
    <row r="60" spans="1:32" s="15" customFormat="1" x14ac:dyDescent="0.25">
      <c r="A60" s="16">
        <v>60</v>
      </c>
      <c r="B60" s="16" t="s">
        <v>313</v>
      </c>
      <c r="C60" s="17">
        <v>45535.77083333333</v>
      </c>
      <c r="D60" s="17">
        <v>45541.77083333333</v>
      </c>
      <c r="E60" s="16" t="s">
        <v>314</v>
      </c>
      <c r="F60" s="16" t="s">
        <v>61</v>
      </c>
      <c r="G60" s="16" t="s">
        <v>114</v>
      </c>
      <c r="H60" s="16" t="s">
        <v>36</v>
      </c>
      <c r="I60" s="16" t="s">
        <v>37</v>
      </c>
      <c r="J60" s="16" t="s">
        <v>38</v>
      </c>
      <c r="K60" s="16" t="s">
        <v>39</v>
      </c>
      <c r="L60" s="16" t="s">
        <v>145</v>
      </c>
      <c r="M60" s="16" t="s">
        <v>315</v>
      </c>
      <c r="N60" s="16" t="s">
        <v>232</v>
      </c>
      <c r="O60" s="16">
        <v>9</v>
      </c>
      <c r="P60" s="18">
        <v>1389.48</v>
      </c>
      <c r="Q60" s="19">
        <v>0.1</v>
      </c>
      <c r="R60" s="19">
        <v>0.1</v>
      </c>
      <c r="S60" s="18">
        <v>11254.79</v>
      </c>
      <c r="T60" s="18">
        <v>6578.06</v>
      </c>
      <c r="U60" s="18">
        <v>4676.73</v>
      </c>
      <c r="V60" s="16" t="s">
        <v>131</v>
      </c>
      <c r="W60" s="16" t="s">
        <v>122</v>
      </c>
      <c r="X60" s="18">
        <f>IF(OR(O60="",P60="",R60=""),"",O60*P60*(1-R60))</f>
        <v>11254.79</v>
      </c>
      <c r="Y60" s="18">
        <f>IF(OR(X60="",T60=""),"",X60-T60)</f>
        <v>4676.73</v>
      </c>
      <c r="Z60" s="19">
        <f>IFERROR(Y60/X60,"")</f>
        <v>0.4155</v>
      </c>
      <c r="AA60" s="16">
        <f>IF(OR(C60="",D60=""),"",D60-C60)</f>
        <v>6</v>
      </c>
      <c r="AB60" s="16">
        <f>IF(C60="","",MONTH(C60))</f>
        <v>9</v>
      </c>
      <c r="AC60" s="16">
        <f>IF(C60="","",YEAR(C60))</f>
        <v>2024</v>
      </c>
      <c r="AD60" s="16" t="s">
        <v>86</v>
      </c>
      <c r="AE60" s="16" t="s">
        <v>66</v>
      </c>
      <c r="AF60" s="16" t="s">
        <v>316</v>
      </c>
    </row>
    <row r="61" spans="1:32" s="15" customFormat="1" x14ac:dyDescent="0.25">
      <c r="A61" s="16">
        <v>61</v>
      </c>
      <c r="B61" s="16" t="s">
        <v>317</v>
      </c>
      <c r="C61" s="17">
        <v>45492.77083333333</v>
      </c>
      <c r="D61" s="17">
        <v>45497.77083333333</v>
      </c>
      <c r="E61" s="16" t="s">
        <v>318</v>
      </c>
      <c r="F61" s="16" t="s">
        <v>135</v>
      </c>
      <c r="G61" s="16" t="s">
        <v>109</v>
      </c>
      <c r="H61" s="16" t="s">
        <v>52</v>
      </c>
      <c r="I61" s="16" t="s">
        <v>191</v>
      </c>
      <c r="J61" s="16" t="s">
        <v>192</v>
      </c>
      <c r="K61" s="16" t="s">
        <v>39</v>
      </c>
      <c r="L61" s="16" t="s">
        <v>110</v>
      </c>
      <c r="M61" s="16" t="s">
        <v>319</v>
      </c>
      <c r="N61" s="16" t="s">
        <v>58</v>
      </c>
      <c r="O61" s="16">
        <v>5</v>
      </c>
      <c r="P61" s="18">
        <v>4133.85</v>
      </c>
      <c r="Q61" s="19">
        <v>0.2</v>
      </c>
      <c r="R61" s="19">
        <v>0.2</v>
      </c>
      <c r="S61" s="18">
        <v>16535.4</v>
      </c>
      <c r="T61" s="18">
        <v>12990.21</v>
      </c>
      <c r="U61" s="18">
        <v>3545.19</v>
      </c>
      <c r="V61" s="16" t="s">
        <v>43</v>
      </c>
      <c r="W61" s="16" t="s">
        <v>85</v>
      </c>
      <c r="X61" s="18">
        <f>IF(OR(O61="",P61="",R61=""),"",O61*P61*(1-R61))</f>
        <v>16535.4</v>
      </c>
      <c r="Y61" s="18">
        <f>IF(OR(X61="",T61=""),"",X61-T61)</f>
        <v>3545.19</v>
      </c>
      <c r="Z61" s="19">
        <f>IFERROR(Y61/X61,"")</f>
        <v>0.2144</v>
      </c>
      <c r="AA61" s="16">
        <f>IF(OR(C61="",D61=""),"",D61-C61)</f>
        <v>5</v>
      </c>
      <c r="AB61" s="16">
        <f>IF(C61="","",MONTH(C61))</f>
        <v>7</v>
      </c>
      <c r="AC61" s="16">
        <f>IF(C61="","",YEAR(C61))</f>
        <v>2024</v>
      </c>
      <c r="AD61" s="16" t="s">
        <v>86</v>
      </c>
      <c r="AE61" s="16" t="s">
        <v>66</v>
      </c>
      <c r="AF61" s="16" t="s">
        <v>87</v>
      </c>
    </row>
    <row r="62" spans="1:32" s="15" customFormat="1" x14ac:dyDescent="0.25">
      <c r="A62" s="16">
        <v>62</v>
      </c>
      <c r="B62" s="16" t="s">
        <v>320</v>
      </c>
      <c r="C62" s="17">
        <v>45485.77083333333</v>
      </c>
      <c r="D62" s="17">
        <v>45491.77083333333</v>
      </c>
      <c r="E62" s="16" t="s">
        <v>321</v>
      </c>
      <c r="F62" s="16" t="s">
        <v>79</v>
      </c>
      <c r="G62" s="16" t="s">
        <v>109</v>
      </c>
      <c r="H62" s="16" t="s">
        <v>52</v>
      </c>
      <c r="I62" s="16" t="s">
        <v>191</v>
      </c>
      <c r="J62" s="16" t="s">
        <v>192</v>
      </c>
      <c r="K62" s="16" t="s">
        <v>39</v>
      </c>
      <c r="L62" s="16" t="s">
        <v>110</v>
      </c>
      <c r="M62" s="16" t="s">
        <v>322</v>
      </c>
      <c r="N62" s="16" t="s">
        <v>58</v>
      </c>
      <c r="O62" s="16">
        <v>3</v>
      </c>
      <c r="P62" s="18">
        <v>275.76</v>
      </c>
      <c r="Q62" s="19">
        <v>0.2</v>
      </c>
      <c r="R62" s="19">
        <v>0.2</v>
      </c>
      <c r="S62" s="18">
        <v>661.82</v>
      </c>
      <c r="T62" s="18">
        <v>481.47</v>
      </c>
      <c r="U62" s="18">
        <v>180.35</v>
      </c>
      <c r="V62" s="16" t="s">
        <v>121</v>
      </c>
      <c r="W62" s="16" t="s">
        <v>85</v>
      </c>
      <c r="X62" s="18">
        <f>IF(OR(O62="",P62="",R62=""),"",O62*P62*(1-R62))</f>
        <v>661.82</v>
      </c>
      <c r="Y62" s="18">
        <f>IF(OR(X62="",T62=""),"",X62-T62)</f>
        <v>180.35</v>
      </c>
      <c r="Z62" s="19">
        <f>IFERROR(Y62/X62,"")</f>
        <v>0.2725</v>
      </c>
      <c r="AA62" s="16">
        <f>IF(OR(C62="",D62=""),"",D62-C62)</f>
        <v>6</v>
      </c>
      <c r="AB62" s="16">
        <f>IF(C62="","",MONTH(C62))</f>
        <v>7</v>
      </c>
      <c r="AC62" s="16">
        <f>IF(C62="","",YEAR(C62))</f>
        <v>2024</v>
      </c>
      <c r="AD62" s="16" t="s">
        <v>86</v>
      </c>
      <c r="AE62" s="16" t="s">
        <v>66</v>
      </c>
      <c r="AF62" s="16" t="s">
        <v>160</v>
      </c>
    </row>
    <row r="63" spans="1:32" x14ac:dyDescent="0.25">
      <c r="A63" s="1">
        <v>63</v>
      </c>
      <c r="B63" s="1" t="s">
        <v>323</v>
      </c>
      <c r="C63" s="2">
        <v>45397.77083333333</v>
      </c>
      <c r="D63" s="2">
        <v>45397.77083333333</v>
      </c>
      <c r="E63" s="1" t="s">
        <v>324</v>
      </c>
      <c r="F63" s="1" t="s">
        <v>90</v>
      </c>
      <c r="G63" s="1" t="s">
        <v>114</v>
      </c>
      <c r="H63" s="1" t="s">
        <v>52</v>
      </c>
      <c r="I63" s="1" t="s">
        <v>168</v>
      </c>
      <c r="J63" s="1" t="s">
        <v>169</v>
      </c>
      <c r="K63" s="1" t="s">
        <v>55</v>
      </c>
      <c r="L63" s="1" t="s">
        <v>182</v>
      </c>
      <c r="M63" s="1" t="s">
        <v>325</v>
      </c>
      <c r="N63" s="1" t="s">
        <v>76</v>
      </c>
      <c r="O63" s="1">
        <v>1</v>
      </c>
      <c r="P63" s="3">
        <v>949.59</v>
      </c>
      <c r="Q63" s="4">
        <v>0</v>
      </c>
      <c r="R63" s="4">
        <v>0</v>
      </c>
      <c r="S63" s="3">
        <v>949.59</v>
      </c>
      <c r="T63" s="3">
        <v>751.25</v>
      </c>
      <c r="U63" s="3">
        <v>198.34</v>
      </c>
      <c r="V63" s="1" t="s">
        <v>43</v>
      </c>
      <c r="W63" s="1" t="s">
        <v>44</v>
      </c>
      <c r="X63" s="3">
        <f>IF(OR(O63="",P63="",R63=""),"",O63*P63*(1-R63))</f>
        <v>949.59</v>
      </c>
      <c r="Y63" s="3">
        <f>IF(OR(X63="",T63=""),"",X63-T63)</f>
        <v>198.34</v>
      </c>
      <c r="Z63" s="4">
        <f>IFERROR(Y63/X63,"")</f>
        <v>0.2089</v>
      </c>
      <c r="AA63" s="1">
        <f>IF(OR(C63="",D63=""),"",D63-C63)</f>
        <v>0</v>
      </c>
      <c r="AB63" s="1">
        <f>IF(C63="","",MONTH(C63))</f>
        <v>4</v>
      </c>
      <c r="AC63" s="1">
        <f>IF(C63="","",YEAR(C63))</f>
        <v>2024</v>
      </c>
      <c r="AD63" s="1" t="s">
        <v>45</v>
      </c>
      <c r="AE63" s="1" t="s">
        <v>46</v>
      </c>
      <c r="AF63" s="1" t="s">
        <v>47</v>
      </c>
    </row>
    <row r="64" spans="1:32" x14ac:dyDescent="0.25">
      <c r="A64" s="1">
        <v>64</v>
      </c>
      <c r="B64" s="1" t="s">
        <v>326</v>
      </c>
      <c r="C64" s="2">
        <v>45594.77083333333</v>
      </c>
      <c r="D64" s="2">
        <v>45597.77083333333</v>
      </c>
      <c r="E64" s="1" t="s">
        <v>327</v>
      </c>
      <c r="F64" s="1" t="s">
        <v>153</v>
      </c>
      <c r="G64" s="1" t="s">
        <v>114</v>
      </c>
      <c r="H64" s="1" t="s">
        <v>36</v>
      </c>
      <c r="I64" s="1" t="s">
        <v>37</v>
      </c>
      <c r="J64" s="1" t="s">
        <v>38</v>
      </c>
      <c r="K64" s="1" t="s">
        <v>93</v>
      </c>
      <c r="L64" s="1" t="s">
        <v>196</v>
      </c>
      <c r="M64" s="1" t="s">
        <v>328</v>
      </c>
      <c r="N64" s="1" t="s">
        <v>76</v>
      </c>
      <c r="O64" s="1">
        <v>9</v>
      </c>
      <c r="P64" s="3">
        <v>3042.29</v>
      </c>
      <c r="Q64" s="4">
        <v>0.2</v>
      </c>
      <c r="R64" s="4">
        <v>0.2</v>
      </c>
      <c r="S64" s="3">
        <v>21904.49</v>
      </c>
      <c r="T64" s="3">
        <v>13570.55</v>
      </c>
      <c r="U64" s="3">
        <v>8333.94</v>
      </c>
      <c r="V64" s="1" t="s">
        <v>43</v>
      </c>
      <c r="W64" s="1" t="s">
        <v>44</v>
      </c>
      <c r="X64" s="3">
        <f>IF(OR(O64="",P64="",R64=""),"",O64*P64*(1-R64))</f>
        <v>21904.49</v>
      </c>
      <c r="Y64" s="3">
        <f>IF(OR(X64="",T64=""),"",X64-T64)</f>
        <v>8333.94</v>
      </c>
      <c r="Z64" s="4">
        <f>IFERROR(Y64/X64,"")</f>
        <v>0.3805</v>
      </c>
      <c r="AA64" s="1">
        <f>IF(OR(C64="",D64=""),"",D64-C64)</f>
        <v>3</v>
      </c>
      <c r="AB64" s="1">
        <f>IF(C64="","",MONTH(C64))</f>
        <v>10</v>
      </c>
      <c r="AC64" s="1">
        <f>IF(C64="","",YEAR(C64))</f>
        <v>2024</v>
      </c>
      <c r="AD64" s="1" t="s">
        <v>45</v>
      </c>
      <c r="AE64" s="1" t="s">
        <v>46</v>
      </c>
      <c r="AF64" s="1" t="s">
        <v>47</v>
      </c>
    </row>
    <row r="65" spans="1:32" s="10" customFormat="1" x14ac:dyDescent="0.25">
      <c r="A65" s="11">
        <v>65</v>
      </c>
      <c r="B65" s="11" t="s">
        <v>329</v>
      </c>
      <c r="C65" s="12">
        <v>45315.77083333333</v>
      </c>
      <c r="D65" s="12">
        <v>45322.77083333333</v>
      </c>
      <c r="E65" s="11" t="s">
        <v>330</v>
      </c>
      <c r="F65" s="11" t="s">
        <v>153</v>
      </c>
      <c r="G65" s="11" t="s">
        <v>114</v>
      </c>
      <c r="H65" s="11" t="s">
        <v>36</v>
      </c>
      <c r="I65" s="11" t="s">
        <v>266</v>
      </c>
      <c r="J65" s="11" t="s">
        <v>267</v>
      </c>
      <c r="K65" s="11" t="s">
        <v>39</v>
      </c>
      <c r="L65" s="11" t="s">
        <v>176</v>
      </c>
      <c r="M65" s="11" t="s">
        <v>331</v>
      </c>
      <c r="N65" s="11" t="s">
        <v>58</v>
      </c>
      <c r="O65" s="11">
        <v>2</v>
      </c>
      <c r="P65" s="13">
        <v>2832.77</v>
      </c>
      <c r="Q65" s="14">
        <v>0.15</v>
      </c>
      <c r="R65" s="14">
        <v>0.15</v>
      </c>
      <c r="S65" s="13">
        <v>4815.71</v>
      </c>
      <c r="T65" s="13">
        <v>3027.75</v>
      </c>
      <c r="U65" s="13">
        <v>1917.47</v>
      </c>
      <c r="V65" s="11" t="s">
        <v>43</v>
      </c>
      <c r="W65" s="11" t="s">
        <v>44</v>
      </c>
      <c r="X65" s="13">
        <f>IF(OR(O65="",P65="",R65=""),"",O65*P65*(1-R65))</f>
        <v>4815.71</v>
      </c>
      <c r="Y65" s="13">
        <f>IF(OR(X65="",T65=""),"",X65-T65)</f>
        <v>1787.96</v>
      </c>
      <c r="Z65" s="14">
        <f>IFERROR(Y65/X65,"")</f>
        <v>0.3713</v>
      </c>
      <c r="AA65" s="11">
        <f>IF(OR(C65="",D65=""),"",D65-C65)</f>
        <v>7</v>
      </c>
      <c r="AB65" s="11">
        <f>IF(C65="","",MONTH(C65))</f>
        <v>1</v>
      </c>
      <c r="AC65" s="11">
        <f>IF(C65="","",YEAR(C65))</f>
        <v>2024</v>
      </c>
      <c r="AD65" s="11" t="s">
        <v>65</v>
      </c>
      <c r="AE65" s="11" t="s">
        <v>66</v>
      </c>
      <c r="AF65" s="11" t="s">
        <v>332</v>
      </c>
    </row>
    <row r="66" spans="1:32" s="15" customFormat="1" x14ac:dyDescent="0.25">
      <c r="A66" s="16">
        <v>66</v>
      </c>
      <c r="B66" s="16" t="s">
        <v>333</v>
      </c>
      <c r="C66" s="17">
        <v>45648.77083333333</v>
      </c>
      <c r="D66" s="17">
        <v>45654.77083333333</v>
      </c>
      <c r="E66" s="16" t="s">
        <v>334</v>
      </c>
      <c r="F66" s="16" t="s">
        <v>149</v>
      </c>
      <c r="G66" s="16" t="s">
        <v>109</v>
      </c>
      <c r="H66" s="16" t="s">
        <v>52</v>
      </c>
      <c r="I66" s="16" t="s">
        <v>258</v>
      </c>
      <c r="J66" s="16" t="s">
        <v>259</v>
      </c>
      <c r="K66" s="16" t="s">
        <v>39</v>
      </c>
      <c r="L66" s="16" t="s">
        <v>40</v>
      </c>
      <c r="M66" s="16" t="s">
        <v>335</v>
      </c>
      <c r="N66" s="16" t="s">
        <v>64</v>
      </c>
      <c r="O66" s="16">
        <v>7</v>
      </c>
      <c r="P66" s="18">
        <v>447.84</v>
      </c>
      <c r="Q66" s="19">
        <v>0</v>
      </c>
      <c r="R66" s="19">
        <v>0</v>
      </c>
      <c r="S66" s="18">
        <v>3134.88</v>
      </c>
      <c r="T66" s="18">
        <v>2367.63</v>
      </c>
      <c r="U66" s="18">
        <v>767.25</v>
      </c>
      <c r="V66" s="16" t="s">
        <v>121</v>
      </c>
      <c r="W66" s="16" t="s">
        <v>122</v>
      </c>
      <c r="X66" s="18">
        <f>IF(OR(O66="",P66="",R66=""),"",O66*P66*(1-R66))</f>
        <v>3134.88</v>
      </c>
      <c r="Y66" s="18">
        <f>IF(OR(X66="",T66=""),"",X66-T66)</f>
        <v>767.25</v>
      </c>
      <c r="Z66" s="19">
        <f>IFERROR(Y66/X66,"")</f>
        <v>0.2447</v>
      </c>
      <c r="AA66" s="16">
        <f>IF(OR(C66="",D66=""),"",D66-C66)</f>
        <v>6</v>
      </c>
      <c r="AB66" s="16">
        <f>IF(C66="","",MONTH(C66))</f>
        <v>12</v>
      </c>
      <c r="AC66" s="16">
        <f>IF(C66="","",YEAR(C66))</f>
        <v>2024</v>
      </c>
      <c r="AD66" s="16" t="s">
        <v>86</v>
      </c>
      <c r="AE66" s="16" t="s">
        <v>66</v>
      </c>
      <c r="AF66" s="16" t="s">
        <v>123</v>
      </c>
    </row>
    <row r="67" spans="1:32" x14ac:dyDescent="0.25">
      <c r="A67" s="1">
        <v>67</v>
      </c>
      <c r="B67" s="1" t="s">
        <v>336</v>
      </c>
      <c r="C67" s="2">
        <v>45403.77083333333</v>
      </c>
      <c r="D67" s="2">
        <v>45408.77083333333</v>
      </c>
      <c r="E67" s="1" t="s">
        <v>337</v>
      </c>
      <c r="F67" s="1" t="s">
        <v>50</v>
      </c>
      <c r="G67" s="1" t="s">
        <v>114</v>
      </c>
      <c r="H67" s="1" t="s">
        <v>80</v>
      </c>
      <c r="I67" s="1" t="s">
        <v>81</v>
      </c>
      <c r="J67" s="1" t="s">
        <v>82</v>
      </c>
      <c r="K67" s="1" t="s">
        <v>39</v>
      </c>
      <c r="L67" s="1" t="s">
        <v>40</v>
      </c>
      <c r="M67" s="1" t="s">
        <v>338</v>
      </c>
      <c r="N67" s="1" t="s">
        <v>42</v>
      </c>
      <c r="O67" s="1">
        <v>1</v>
      </c>
      <c r="P67" s="3">
        <v>4280.19</v>
      </c>
      <c r="Q67" s="4">
        <v>0.05</v>
      </c>
      <c r="R67" s="4">
        <v>0.05</v>
      </c>
      <c r="S67" s="3">
        <v>4066.18</v>
      </c>
      <c r="T67" s="3">
        <v>2628.92</v>
      </c>
      <c r="U67" s="3">
        <v>1437.26</v>
      </c>
      <c r="V67" s="1" t="s">
        <v>43</v>
      </c>
      <c r="W67" s="1" t="s">
        <v>44</v>
      </c>
      <c r="X67" s="3">
        <f>IF(OR(O67="",P67="",R67=""),"",O67*P67*(1-R67))</f>
        <v>4066.18</v>
      </c>
      <c r="Y67" s="3">
        <f>IF(OR(X67="",T67=""),"",X67-T67)</f>
        <v>1437.26</v>
      </c>
      <c r="Z67" s="4">
        <f>IFERROR(Y67/X67,"")</f>
        <v>0.3535</v>
      </c>
      <c r="AA67" s="1">
        <f>IF(OR(C67="",D67=""),"",D67-C67)</f>
        <v>5</v>
      </c>
      <c r="AB67" s="1">
        <f>IF(C67="","",MONTH(C67))</f>
        <v>4</v>
      </c>
      <c r="AC67" s="1">
        <f>IF(C67="","",YEAR(C67))</f>
        <v>2024</v>
      </c>
      <c r="AD67" s="1" t="s">
        <v>45</v>
      </c>
      <c r="AE67" s="1" t="s">
        <v>46</v>
      </c>
      <c r="AF67" s="1" t="s">
        <v>47</v>
      </c>
    </row>
    <row r="68" spans="1:32" x14ac:dyDescent="0.25">
      <c r="A68" s="1">
        <v>68</v>
      </c>
      <c r="B68" s="1" t="s">
        <v>339</v>
      </c>
      <c r="C68" s="2">
        <v>45896.77083333333</v>
      </c>
      <c r="D68" s="2">
        <v>45900.77083333333</v>
      </c>
      <c r="E68" s="1" t="s">
        <v>340</v>
      </c>
      <c r="F68" s="1" t="s">
        <v>34</v>
      </c>
      <c r="G68" s="1" t="s">
        <v>51</v>
      </c>
      <c r="H68" s="1" t="s">
        <v>71</v>
      </c>
      <c r="I68" s="1" t="s">
        <v>277</v>
      </c>
      <c r="J68" s="1" t="s">
        <v>278</v>
      </c>
      <c r="K68" s="1" t="s">
        <v>93</v>
      </c>
      <c r="L68" s="1" t="s">
        <v>94</v>
      </c>
      <c r="M68" s="1" t="s">
        <v>341</v>
      </c>
      <c r="N68" s="1" t="s">
        <v>58</v>
      </c>
      <c r="O68" s="1">
        <v>7</v>
      </c>
      <c r="P68" s="3">
        <v>1057.46</v>
      </c>
      <c r="Q68" s="4">
        <v>0.05</v>
      </c>
      <c r="R68" s="4">
        <v>0.05</v>
      </c>
      <c r="S68" s="3">
        <v>7032.11</v>
      </c>
      <c r="T68" s="3">
        <v>4610.34</v>
      </c>
      <c r="U68" s="3">
        <v>2421.77</v>
      </c>
      <c r="V68" s="1" t="s">
        <v>43</v>
      </c>
      <c r="W68" s="1" t="s">
        <v>44</v>
      </c>
      <c r="X68" s="3">
        <f>IF(OR(O68="",P68="",R68=""),"",O68*P68*(1-R68))</f>
        <v>7032.11</v>
      </c>
      <c r="Y68" s="3">
        <f>IF(OR(X68="",T68=""),"",X68-T68)</f>
        <v>2421.77</v>
      </c>
      <c r="Z68" s="4">
        <f>IFERROR(Y68/X68,"")</f>
        <v>0.3444</v>
      </c>
      <c r="AA68" s="1">
        <f>IF(OR(C68="",D68=""),"",D68-C68)</f>
        <v>4</v>
      </c>
      <c r="AB68" s="1">
        <f>IF(C68="","",MONTH(C68))</f>
        <v>8</v>
      </c>
      <c r="AC68" s="1">
        <f>IF(C68="","",YEAR(C68))</f>
        <v>2025</v>
      </c>
      <c r="AD68" s="1" t="s">
        <v>45</v>
      </c>
      <c r="AE68" s="1" t="s">
        <v>46</v>
      </c>
      <c r="AF68" s="1" t="s">
        <v>47</v>
      </c>
    </row>
    <row r="69" spans="1:32" x14ac:dyDescent="0.25">
      <c r="A69" s="1">
        <v>69</v>
      </c>
      <c r="B69" s="1" t="s">
        <v>342</v>
      </c>
      <c r="C69" s="2">
        <v>45690.77083333333</v>
      </c>
      <c r="D69" s="2">
        <v>45694.77083333333</v>
      </c>
      <c r="E69" s="1" t="s">
        <v>343</v>
      </c>
      <c r="F69" s="1" t="s">
        <v>294</v>
      </c>
      <c r="G69" s="1" t="s">
        <v>35</v>
      </c>
      <c r="H69" s="1" t="s">
        <v>36</v>
      </c>
      <c r="I69" s="1" t="s">
        <v>266</v>
      </c>
      <c r="J69" s="1" t="s">
        <v>267</v>
      </c>
      <c r="K69" s="1" t="s">
        <v>39</v>
      </c>
      <c r="L69" s="1" t="s">
        <v>40</v>
      </c>
      <c r="M69" s="1" t="s">
        <v>344</v>
      </c>
      <c r="N69" s="1" t="s">
        <v>64</v>
      </c>
      <c r="O69" s="1">
        <v>7</v>
      </c>
      <c r="P69" s="3">
        <v>3609.34</v>
      </c>
      <c r="Q69" s="4">
        <v>0.05</v>
      </c>
      <c r="R69" s="4">
        <v>0.05</v>
      </c>
      <c r="S69" s="3">
        <v>24002.11</v>
      </c>
      <c r="T69" s="3">
        <v>18707.57</v>
      </c>
      <c r="U69" s="3">
        <v>5294.54</v>
      </c>
      <c r="V69" s="1" t="s">
        <v>43</v>
      </c>
      <c r="W69" s="1" t="s">
        <v>44</v>
      </c>
      <c r="X69" s="3">
        <f>IF(OR(O69="",P69="",R69=""),"",O69*P69*(1-R69))</f>
        <v>24002.11</v>
      </c>
      <c r="Y69" s="3">
        <f>IF(OR(X69="",T69=""),"",X69-T69)</f>
        <v>5294.54</v>
      </c>
      <c r="Z69" s="4">
        <f>IFERROR(Y69/X69,"")</f>
        <v>0.2206</v>
      </c>
      <c r="AA69" s="1">
        <f>IF(OR(C69="",D69=""),"",D69-C69)</f>
        <v>4</v>
      </c>
      <c r="AB69" s="1">
        <f>IF(C69="","",MONTH(C69))</f>
        <v>2</v>
      </c>
      <c r="AC69" s="1">
        <f>IF(C69="","",YEAR(C69))</f>
        <v>2025</v>
      </c>
      <c r="AD69" s="1" t="s">
        <v>45</v>
      </c>
      <c r="AE69" s="1" t="s">
        <v>46</v>
      </c>
      <c r="AF69" s="1" t="s">
        <v>47</v>
      </c>
    </row>
    <row r="70" spans="1:32" s="15" customFormat="1" x14ac:dyDescent="0.25">
      <c r="A70" s="16">
        <v>70</v>
      </c>
      <c r="B70" s="16" t="s">
        <v>345</v>
      </c>
      <c r="C70" s="17">
        <v>45605.77083333333</v>
      </c>
      <c r="D70" s="17">
        <v>45608.77083333333</v>
      </c>
      <c r="E70" s="16" t="s">
        <v>346</v>
      </c>
      <c r="F70" s="16" t="s">
        <v>61</v>
      </c>
      <c r="G70" s="16" t="s">
        <v>109</v>
      </c>
      <c r="H70" s="16" t="s">
        <v>52</v>
      </c>
      <c r="I70" s="16" t="s">
        <v>258</v>
      </c>
      <c r="J70" s="16" t="s">
        <v>259</v>
      </c>
      <c r="K70" s="16" t="s">
        <v>39</v>
      </c>
      <c r="L70" s="16" t="s">
        <v>145</v>
      </c>
      <c r="M70" s="16" t="s">
        <v>347</v>
      </c>
      <c r="N70" s="16" t="s">
        <v>42</v>
      </c>
      <c r="O70" s="16">
        <v>9</v>
      </c>
      <c r="P70" s="18">
        <v>2211.12</v>
      </c>
      <c r="Q70" s="19">
        <v>0</v>
      </c>
      <c r="R70" s="19">
        <v>0</v>
      </c>
      <c r="S70" s="18">
        <v>19900.08</v>
      </c>
      <c r="T70" s="18">
        <v>10962.66</v>
      </c>
      <c r="U70" s="18">
        <v>8937.42</v>
      </c>
      <c r="V70" s="16" t="s">
        <v>178</v>
      </c>
      <c r="W70" s="16" t="s">
        <v>122</v>
      </c>
      <c r="X70" s="18">
        <f>IF(OR(O70="",P70="",R70=""),"",O70*P70*(1-R70))</f>
        <v>19900.08</v>
      </c>
      <c r="Y70" s="18">
        <f>IF(OR(X70="",T70=""),"",X70-T70)</f>
        <v>8937.42</v>
      </c>
      <c r="Z70" s="19">
        <f>IFERROR(Y70/X70,"")</f>
        <v>0.4491</v>
      </c>
      <c r="AA70" s="16">
        <f>IF(OR(C70="",D70=""),"",D70-C70)</f>
        <v>3</v>
      </c>
      <c r="AB70" s="16">
        <f>IF(C70="","",MONTH(C70))</f>
        <v>11</v>
      </c>
      <c r="AC70" s="16">
        <f>IF(C70="","",YEAR(C70))</f>
        <v>2024</v>
      </c>
      <c r="AD70" s="16" t="s">
        <v>86</v>
      </c>
      <c r="AE70" s="16" t="s">
        <v>66</v>
      </c>
      <c r="AF70" s="16" t="s">
        <v>179</v>
      </c>
    </row>
    <row r="71" spans="1:32" s="15" customFormat="1" x14ac:dyDescent="0.25">
      <c r="A71" s="16">
        <v>71</v>
      </c>
      <c r="B71" s="16" t="s">
        <v>348</v>
      </c>
      <c r="C71" s="17">
        <v>45390.77083333333</v>
      </c>
      <c r="D71" s="17">
        <v>45395.77083333333</v>
      </c>
      <c r="E71" s="16" t="s">
        <v>349</v>
      </c>
      <c r="F71" s="16" t="s">
        <v>98</v>
      </c>
      <c r="G71" s="16" t="s">
        <v>51</v>
      </c>
      <c r="H71" s="16" t="s">
        <v>80</v>
      </c>
      <c r="I71" s="16" t="s">
        <v>206</v>
      </c>
      <c r="J71" s="16" t="s">
        <v>207</v>
      </c>
      <c r="K71" s="16" t="s">
        <v>93</v>
      </c>
      <c r="L71" s="16" t="s">
        <v>305</v>
      </c>
      <c r="M71" s="16" t="s">
        <v>350</v>
      </c>
      <c r="N71" s="16" t="s">
        <v>58</v>
      </c>
      <c r="O71" s="16">
        <v>7</v>
      </c>
      <c r="P71" s="18">
        <v>3417.09</v>
      </c>
      <c r="Q71" s="19">
        <v>0.1</v>
      </c>
      <c r="R71" s="19">
        <v>0.1</v>
      </c>
      <c r="S71" s="18">
        <v>21527.67</v>
      </c>
      <c r="T71" s="18">
        <v>18287.58</v>
      </c>
      <c r="U71" s="18">
        <v>3240.09</v>
      </c>
      <c r="V71" s="16" t="s">
        <v>121</v>
      </c>
      <c r="W71" s="16" t="s">
        <v>122</v>
      </c>
      <c r="X71" s="18">
        <f>IF(OR(O71="",P71="",R71=""),"",O71*P71*(1-R71))</f>
        <v>21527.67</v>
      </c>
      <c r="Y71" s="18">
        <f>IF(OR(X71="",T71=""),"",X71-T71)</f>
        <v>3240.09</v>
      </c>
      <c r="Z71" s="19">
        <f>IFERROR(Y71/X71,"")</f>
        <v>0.1505</v>
      </c>
      <c r="AA71" s="16">
        <f>IF(OR(C71="",D71=""),"",D71-C71)</f>
        <v>5</v>
      </c>
      <c r="AB71" s="16">
        <f>IF(C71="","",MONTH(C71))</f>
        <v>4</v>
      </c>
      <c r="AC71" s="16">
        <f>IF(C71="","",YEAR(C71))</f>
        <v>2024</v>
      </c>
      <c r="AD71" s="16" t="s">
        <v>86</v>
      </c>
      <c r="AE71" s="16" t="s">
        <v>66</v>
      </c>
      <c r="AF71" s="16" t="s">
        <v>123</v>
      </c>
    </row>
    <row r="72" spans="1:32" x14ac:dyDescent="0.25">
      <c r="A72" s="1">
        <v>72</v>
      </c>
      <c r="B72" s="1" t="s">
        <v>351</v>
      </c>
      <c r="C72" s="2">
        <v>45890.77083333333</v>
      </c>
      <c r="D72" s="2">
        <v>45895.77083333333</v>
      </c>
      <c r="E72" s="1" t="s">
        <v>352</v>
      </c>
      <c r="F72" s="1" t="s">
        <v>34</v>
      </c>
      <c r="G72" s="1" t="s">
        <v>109</v>
      </c>
      <c r="H72" s="1" t="s">
        <v>71</v>
      </c>
      <c r="I72" s="1" t="s">
        <v>103</v>
      </c>
      <c r="J72" s="1" t="s">
        <v>104</v>
      </c>
      <c r="K72" s="1" t="s">
        <v>93</v>
      </c>
      <c r="L72" s="1" t="s">
        <v>196</v>
      </c>
      <c r="M72" s="1" t="s">
        <v>353</v>
      </c>
      <c r="N72" s="1" t="s">
        <v>64</v>
      </c>
      <c r="O72" s="1">
        <v>2</v>
      </c>
      <c r="P72" s="3">
        <v>905.87</v>
      </c>
      <c r="Q72" s="4">
        <v>0.15</v>
      </c>
      <c r="R72" s="4">
        <v>0.15</v>
      </c>
      <c r="S72" s="3">
        <v>1539.98</v>
      </c>
      <c r="T72" s="3">
        <v>1070.2</v>
      </c>
      <c r="U72" s="3">
        <v>469.78</v>
      </c>
      <c r="V72" s="1" t="s">
        <v>43</v>
      </c>
      <c r="W72" s="1" t="s">
        <v>44</v>
      </c>
      <c r="X72" s="3">
        <f>IF(OR(O72="",P72="",R72=""),"",O72*P72*(1-R72))</f>
        <v>1539.98</v>
      </c>
      <c r="Y72" s="3">
        <f>IF(OR(X72="",T72=""),"",X72-T72)</f>
        <v>469.78</v>
      </c>
      <c r="Z72" s="4">
        <f>IFERROR(Y72/X72,"")</f>
        <v>0.3051</v>
      </c>
      <c r="AA72" s="1">
        <f>IF(OR(C72="",D72=""),"",D72-C72)</f>
        <v>5</v>
      </c>
      <c r="AB72" s="1">
        <f>IF(C72="","",MONTH(C72))</f>
        <v>8</v>
      </c>
      <c r="AC72" s="1">
        <f>IF(C72="","",YEAR(C72))</f>
        <v>2025</v>
      </c>
      <c r="AD72" s="1" t="s">
        <v>45</v>
      </c>
      <c r="AE72" s="1" t="s">
        <v>46</v>
      </c>
      <c r="AF72" s="1" t="s">
        <v>47</v>
      </c>
    </row>
    <row r="73" spans="1:32" x14ac:dyDescent="0.25">
      <c r="A73" s="1">
        <v>73</v>
      </c>
      <c r="B73" s="1" t="s">
        <v>354</v>
      </c>
      <c r="C73" s="2">
        <v>45762.77083333333</v>
      </c>
      <c r="D73" s="2">
        <v>45769.77083333333</v>
      </c>
      <c r="E73" s="1" t="s">
        <v>355</v>
      </c>
      <c r="F73" s="1" t="s">
        <v>50</v>
      </c>
      <c r="G73" s="1" t="s">
        <v>51</v>
      </c>
      <c r="H73" s="1" t="s">
        <v>80</v>
      </c>
      <c r="I73" s="1" t="s">
        <v>216</v>
      </c>
      <c r="J73" s="1" t="s">
        <v>217</v>
      </c>
      <c r="K73" s="1" t="s">
        <v>93</v>
      </c>
      <c r="L73" s="1" t="s">
        <v>305</v>
      </c>
      <c r="M73" s="1" t="s">
        <v>356</v>
      </c>
      <c r="N73" s="1" t="s">
        <v>76</v>
      </c>
      <c r="O73" s="1">
        <v>6</v>
      </c>
      <c r="P73" s="3">
        <v>2027.32</v>
      </c>
      <c r="Q73" s="4">
        <v>0.1</v>
      </c>
      <c r="R73" s="4">
        <v>0.1</v>
      </c>
      <c r="S73" s="3">
        <v>10947.53</v>
      </c>
      <c r="T73" s="3">
        <v>6447.36</v>
      </c>
      <c r="U73" s="3">
        <v>4500.17</v>
      </c>
      <c r="V73" s="1" t="s">
        <v>43</v>
      </c>
      <c r="W73" s="1" t="s">
        <v>44</v>
      </c>
      <c r="X73" s="3">
        <f>IF(OR(O73="",P73="",R73=""),"",O73*P73*(1-R73))</f>
        <v>10947.53</v>
      </c>
      <c r="Y73" s="3">
        <f>IF(OR(X73="",T73=""),"",X73-T73)</f>
        <v>4500.17</v>
      </c>
      <c r="Z73" s="4">
        <f>IFERROR(Y73/X73,"")</f>
        <v>0.4111</v>
      </c>
      <c r="AA73" s="1">
        <f>IF(OR(C73="",D73=""),"",D73-C73)</f>
        <v>7</v>
      </c>
      <c r="AB73" s="1">
        <f>IF(C73="","",MONTH(C73))</f>
        <v>4</v>
      </c>
      <c r="AC73" s="1">
        <f>IF(C73="","",YEAR(C73))</f>
        <v>2025</v>
      </c>
      <c r="AD73" s="1" t="s">
        <v>45</v>
      </c>
      <c r="AE73" s="1" t="s">
        <v>46</v>
      </c>
      <c r="AF73" s="1" t="s">
        <v>47</v>
      </c>
    </row>
    <row r="74" spans="1:32" s="10" customFormat="1" x14ac:dyDescent="0.25">
      <c r="A74" s="11">
        <v>74</v>
      </c>
      <c r="B74" s="11" t="s">
        <v>357</v>
      </c>
      <c r="C74" s="12">
        <v>45332.77083333333</v>
      </c>
      <c r="D74" s="12">
        <v>45328.77083333333</v>
      </c>
      <c r="E74" s="11" t="s">
        <v>358</v>
      </c>
      <c r="F74" s="11" t="s">
        <v>34</v>
      </c>
      <c r="G74" s="11" t="s">
        <v>114</v>
      </c>
      <c r="H74" s="11" t="s">
        <v>71</v>
      </c>
      <c r="I74" s="11" t="s">
        <v>277</v>
      </c>
      <c r="J74" s="11" t="s">
        <v>278</v>
      </c>
      <c r="K74" s="11" t="s">
        <v>55</v>
      </c>
      <c r="L74" s="11" t="s">
        <v>56</v>
      </c>
      <c r="M74" s="11" t="s">
        <v>359</v>
      </c>
      <c r="N74" s="11" t="s">
        <v>64</v>
      </c>
      <c r="O74" s="11">
        <v>7</v>
      </c>
      <c r="P74" s="13">
        <v>2287.47</v>
      </c>
      <c r="Q74" s="14">
        <v>0.15</v>
      </c>
      <c r="R74" s="14">
        <v>0.15</v>
      </c>
      <c r="S74" s="13">
        <v>13610.45</v>
      </c>
      <c r="T74" s="13">
        <v>10039.05</v>
      </c>
      <c r="U74" s="13">
        <v>3571.4</v>
      </c>
      <c r="V74" s="11" t="s">
        <v>43</v>
      </c>
      <c r="W74" s="11" t="s">
        <v>44</v>
      </c>
      <c r="X74" s="13">
        <f>IF(OR(O74="",P74="",R74=""),"",O74*P74*(1-R74))</f>
        <v>13610.45</v>
      </c>
      <c r="Y74" s="13">
        <f>IF(OR(X74="",T74=""),"",X74-T74)</f>
        <v>3571.4</v>
      </c>
      <c r="Z74" s="14">
        <f>IFERROR(Y74/X74,"")</f>
        <v>0.2624</v>
      </c>
      <c r="AA74" s="11">
        <f>IF(OR(C74="",D74=""),"",D74-C74)</f>
        <v>-4</v>
      </c>
      <c r="AB74" s="11">
        <f>IF(C74="","",MONTH(C74))</f>
        <v>2</v>
      </c>
      <c r="AC74" s="11">
        <f>IF(C74="","",YEAR(C74))</f>
        <v>2024</v>
      </c>
      <c r="AD74" s="11" t="s">
        <v>65</v>
      </c>
      <c r="AE74" s="11" t="s">
        <v>66</v>
      </c>
      <c r="AF74" s="11" t="s">
        <v>360</v>
      </c>
    </row>
    <row r="75" spans="1:32" x14ac:dyDescent="0.25">
      <c r="A75" s="1">
        <v>75</v>
      </c>
      <c r="B75" s="1" t="s">
        <v>361</v>
      </c>
      <c r="C75" s="2">
        <v>45744.77083333333</v>
      </c>
      <c r="D75" s="2">
        <v>45749.77083333333</v>
      </c>
      <c r="E75" s="1" t="s">
        <v>362</v>
      </c>
      <c r="F75" s="1" t="s">
        <v>153</v>
      </c>
      <c r="G75" s="1" t="s">
        <v>109</v>
      </c>
      <c r="H75" s="1" t="s">
        <v>52</v>
      </c>
      <c r="I75" s="1" t="s">
        <v>118</v>
      </c>
      <c r="J75" s="1" t="s">
        <v>119</v>
      </c>
      <c r="K75" s="1" t="s">
        <v>55</v>
      </c>
      <c r="L75" s="1" t="s">
        <v>182</v>
      </c>
      <c r="M75" s="1" t="s">
        <v>363</v>
      </c>
      <c r="N75" s="1" t="s">
        <v>64</v>
      </c>
      <c r="O75" s="1">
        <v>5</v>
      </c>
      <c r="P75" s="3">
        <v>1425.74</v>
      </c>
      <c r="Q75" s="4">
        <v>0</v>
      </c>
      <c r="R75" s="4">
        <v>0</v>
      </c>
      <c r="S75" s="3">
        <v>7128.7</v>
      </c>
      <c r="T75" s="3">
        <v>4382.15</v>
      </c>
      <c r="U75" s="3">
        <v>2746.55</v>
      </c>
      <c r="V75" s="1" t="s">
        <v>43</v>
      </c>
      <c r="W75" s="1" t="s">
        <v>44</v>
      </c>
      <c r="X75" s="3">
        <f>IF(OR(O75="",P75="",R75=""),"",O75*P75*(1-R75))</f>
        <v>7128.7</v>
      </c>
      <c r="Y75" s="3">
        <f>IF(OR(X75="",T75=""),"",X75-T75)</f>
        <v>2746.55</v>
      </c>
      <c r="Z75" s="4">
        <f>IFERROR(Y75/X75,"")</f>
        <v>0.3853</v>
      </c>
      <c r="AA75" s="1">
        <f>IF(OR(C75="",D75=""),"",D75-C75)</f>
        <v>5</v>
      </c>
      <c r="AB75" s="1">
        <f>IF(C75="","",MONTH(C75))</f>
        <v>3</v>
      </c>
      <c r="AC75" s="1">
        <f>IF(C75="","",YEAR(C75))</f>
        <v>2025</v>
      </c>
      <c r="AD75" s="1" t="s">
        <v>45</v>
      </c>
      <c r="AE75" s="1" t="s">
        <v>46</v>
      </c>
      <c r="AF75" s="1" t="s">
        <v>47</v>
      </c>
    </row>
    <row r="76" spans="1:32" x14ac:dyDescent="0.25">
      <c r="A76" s="1">
        <v>76</v>
      </c>
      <c r="B76" s="1" t="s">
        <v>364</v>
      </c>
      <c r="C76" s="2">
        <v>45714.77083333333</v>
      </c>
      <c r="D76" s="2">
        <v>45716.77083333333</v>
      </c>
      <c r="E76" s="1" t="s">
        <v>365</v>
      </c>
      <c r="F76" s="1" t="s">
        <v>90</v>
      </c>
      <c r="G76" s="1" t="s">
        <v>51</v>
      </c>
      <c r="H76" s="1" t="s">
        <v>52</v>
      </c>
      <c r="I76" s="1" t="s">
        <v>118</v>
      </c>
      <c r="J76" s="1" t="s">
        <v>119</v>
      </c>
      <c r="K76" s="1" t="s">
        <v>55</v>
      </c>
      <c r="L76" s="1" t="s">
        <v>83</v>
      </c>
      <c r="M76" s="1" t="s">
        <v>366</v>
      </c>
      <c r="N76" s="1" t="s">
        <v>76</v>
      </c>
      <c r="O76" s="1">
        <v>6</v>
      </c>
      <c r="P76" s="3">
        <v>551.64</v>
      </c>
      <c r="Q76" s="4">
        <v>0</v>
      </c>
      <c r="R76" s="4">
        <v>0</v>
      </c>
      <c r="S76" s="3">
        <v>3309.84</v>
      </c>
      <c r="T76" s="3">
        <v>2671.08</v>
      </c>
      <c r="U76" s="3">
        <v>638.76</v>
      </c>
      <c r="V76" s="1" t="s">
        <v>43</v>
      </c>
      <c r="W76" s="1" t="s">
        <v>44</v>
      </c>
      <c r="X76" s="3">
        <f>IF(OR(O76="",P76="",R76=""),"",O76*P76*(1-R76))</f>
        <v>3309.84</v>
      </c>
      <c r="Y76" s="3">
        <f>IF(OR(X76="",T76=""),"",X76-T76)</f>
        <v>638.76</v>
      </c>
      <c r="Z76" s="4">
        <f>IFERROR(Y76/X76,"")</f>
        <v>0.193</v>
      </c>
      <c r="AA76" s="1">
        <f>IF(OR(C76="",D76=""),"",D76-C76)</f>
        <v>2</v>
      </c>
      <c r="AB76" s="1">
        <f>IF(C76="","",MONTH(C76))</f>
        <v>2</v>
      </c>
      <c r="AC76" s="1">
        <f>IF(C76="","",YEAR(C76))</f>
        <v>2025</v>
      </c>
      <c r="AD76" s="1" t="s">
        <v>45</v>
      </c>
      <c r="AE76" s="1" t="s">
        <v>46</v>
      </c>
      <c r="AF76" s="1" t="s">
        <v>47</v>
      </c>
    </row>
    <row r="77" spans="1:32" x14ac:dyDescent="0.25">
      <c r="A77" s="1">
        <v>77</v>
      </c>
      <c r="B77" s="1" t="s">
        <v>367</v>
      </c>
      <c r="C77" s="2">
        <v>45890.77083333333</v>
      </c>
      <c r="D77" s="2">
        <v>45895.77083333333</v>
      </c>
      <c r="E77" s="1" t="s">
        <v>368</v>
      </c>
      <c r="F77" s="1" t="s">
        <v>135</v>
      </c>
      <c r="G77" s="1" t="s">
        <v>51</v>
      </c>
      <c r="H77" s="1" t="s">
        <v>52</v>
      </c>
      <c r="I77" s="1" t="s">
        <v>53</v>
      </c>
      <c r="J77" s="1" t="s">
        <v>54</v>
      </c>
      <c r="K77" s="1" t="s">
        <v>39</v>
      </c>
      <c r="L77" s="1" t="s">
        <v>110</v>
      </c>
      <c r="M77" s="1" t="s">
        <v>369</v>
      </c>
      <c r="N77" s="1" t="s">
        <v>64</v>
      </c>
      <c r="O77" s="1">
        <v>3</v>
      </c>
      <c r="P77" s="3">
        <v>3294.82</v>
      </c>
      <c r="Q77" s="4">
        <v>0.2</v>
      </c>
      <c r="R77" s="4">
        <v>0.2</v>
      </c>
      <c r="S77" s="3">
        <v>7907.57</v>
      </c>
      <c r="T77" s="3">
        <v>5391.18</v>
      </c>
      <c r="U77" s="3">
        <v>2516.39</v>
      </c>
      <c r="V77" s="1" t="s">
        <v>43</v>
      </c>
      <c r="W77" s="1" t="s">
        <v>44</v>
      </c>
      <c r="X77" s="3">
        <f>IF(OR(O77="",P77="",R77=""),"",O77*P77*(1-R77))</f>
        <v>7907.57</v>
      </c>
      <c r="Y77" s="3">
        <f>IF(OR(X77="",T77=""),"",X77-T77)</f>
        <v>2516.39</v>
      </c>
      <c r="Z77" s="4">
        <f>IFERROR(Y77/X77,"")</f>
        <v>0.3182</v>
      </c>
      <c r="AA77" s="1">
        <f>IF(OR(C77="",D77=""),"",D77-C77)</f>
        <v>5</v>
      </c>
      <c r="AB77" s="1">
        <f>IF(C77="","",MONTH(C77))</f>
        <v>8</v>
      </c>
      <c r="AC77" s="1">
        <f>IF(C77="","",YEAR(C77))</f>
        <v>2025</v>
      </c>
      <c r="AD77" s="1" t="s">
        <v>45</v>
      </c>
      <c r="AE77" s="1" t="s">
        <v>46</v>
      </c>
      <c r="AF77" s="1" t="s">
        <v>47</v>
      </c>
    </row>
    <row r="78" spans="1:32" x14ac:dyDescent="0.25">
      <c r="A78" s="1">
        <v>78</v>
      </c>
      <c r="B78" s="1" t="s">
        <v>370</v>
      </c>
      <c r="C78" s="2">
        <v>45598.77083333333</v>
      </c>
      <c r="D78" s="2">
        <v>45606.77083333333</v>
      </c>
      <c r="E78" s="1" t="s">
        <v>371</v>
      </c>
      <c r="F78" s="1" t="s">
        <v>79</v>
      </c>
      <c r="G78" s="1" t="s">
        <v>109</v>
      </c>
      <c r="H78" s="1" t="s">
        <v>52</v>
      </c>
      <c r="I78" s="1" t="s">
        <v>258</v>
      </c>
      <c r="J78" s="1" t="s">
        <v>259</v>
      </c>
      <c r="K78" s="1" t="s">
        <v>39</v>
      </c>
      <c r="L78" s="1" t="s">
        <v>110</v>
      </c>
      <c r="M78" s="1" t="s">
        <v>372</v>
      </c>
      <c r="N78" s="1" t="s">
        <v>42</v>
      </c>
      <c r="O78" s="1">
        <v>3</v>
      </c>
      <c r="P78" s="3">
        <v>3406.27</v>
      </c>
      <c r="Q78" s="4">
        <v>0</v>
      </c>
      <c r="R78" s="4">
        <v>0</v>
      </c>
      <c r="S78" s="3">
        <v>10218.81</v>
      </c>
      <c r="T78" s="3">
        <v>7616.97</v>
      </c>
      <c r="U78" s="3">
        <v>2601.84</v>
      </c>
      <c r="V78" s="1" t="s">
        <v>43</v>
      </c>
      <c r="W78" s="1" t="s">
        <v>44</v>
      </c>
      <c r="X78" s="3">
        <f>IF(OR(O78="",P78="",R78=""),"",O78*P78*(1-R78))</f>
        <v>10218.81</v>
      </c>
      <c r="Y78" s="3">
        <f>IF(OR(X78="",T78=""),"",X78-T78)</f>
        <v>2601.84</v>
      </c>
      <c r="Z78" s="4">
        <f>IFERROR(Y78/X78,"")</f>
        <v>0.2546</v>
      </c>
      <c r="AA78" s="1">
        <f>IF(OR(C78="",D78=""),"",D78-C78)</f>
        <v>8</v>
      </c>
      <c r="AB78" s="1">
        <f>IF(C78="","",MONTH(C78))</f>
        <v>11</v>
      </c>
      <c r="AC78" s="1">
        <f>IF(C78="","",YEAR(C78))</f>
        <v>2024</v>
      </c>
      <c r="AD78" s="1" t="s">
        <v>45</v>
      </c>
      <c r="AE78" s="1" t="s">
        <v>46</v>
      </c>
      <c r="AF78" s="1" t="s">
        <v>47</v>
      </c>
    </row>
    <row r="79" spans="1:32" s="15" customFormat="1" x14ac:dyDescent="0.25">
      <c r="A79" s="16">
        <v>79</v>
      </c>
      <c r="B79" s="16" t="s">
        <v>373</v>
      </c>
      <c r="C79" s="17">
        <v>45845.77083333333</v>
      </c>
      <c r="D79" s="17">
        <v>45849.77083333333</v>
      </c>
      <c r="E79" s="16" t="s">
        <v>374</v>
      </c>
      <c r="F79" s="16" t="s">
        <v>163</v>
      </c>
      <c r="G79" s="16" t="s">
        <v>114</v>
      </c>
      <c r="H79" s="16" t="s">
        <v>36</v>
      </c>
      <c r="I79" s="16" t="s">
        <v>157</v>
      </c>
      <c r="J79" s="16" t="s">
        <v>158</v>
      </c>
      <c r="K79" s="16" t="s">
        <v>55</v>
      </c>
      <c r="L79" s="16" t="s">
        <v>74</v>
      </c>
      <c r="M79" s="16" t="s">
        <v>375</v>
      </c>
      <c r="N79" s="16" t="s">
        <v>76</v>
      </c>
      <c r="O79" s="16">
        <v>1</v>
      </c>
      <c r="P79" s="18">
        <v>2582.2</v>
      </c>
      <c r="Q79" s="19">
        <v>0.15</v>
      </c>
      <c r="R79" s="19">
        <v>0.15</v>
      </c>
      <c r="S79" s="18">
        <v>2194.87</v>
      </c>
      <c r="T79" s="18">
        <v>1223.17</v>
      </c>
      <c r="U79" s="18">
        <v>971.7</v>
      </c>
      <c r="V79" s="16" t="s">
        <v>121</v>
      </c>
      <c r="W79" s="16" t="s">
        <v>85</v>
      </c>
      <c r="X79" s="18">
        <f>IF(OR(O79="",P79="",R79=""),"",O79*P79*(1-R79))</f>
        <v>2194.87</v>
      </c>
      <c r="Y79" s="18">
        <f>IF(OR(X79="",T79=""),"",X79-T79)</f>
        <v>971.7</v>
      </c>
      <c r="Z79" s="19">
        <f>IFERROR(Y79/X79,"")</f>
        <v>0.4427</v>
      </c>
      <c r="AA79" s="16">
        <f>IF(OR(C79="",D79=""),"",D79-C79)</f>
        <v>4</v>
      </c>
      <c r="AB79" s="16">
        <f>IF(C79="","",MONTH(C79))</f>
        <v>7</v>
      </c>
      <c r="AC79" s="16">
        <f>IF(C79="","",YEAR(C79))</f>
        <v>2025</v>
      </c>
      <c r="AD79" s="16" t="s">
        <v>86</v>
      </c>
      <c r="AE79" s="16" t="s">
        <v>66</v>
      </c>
      <c r="AF79" s="16" t="s">
        <v>160</v>
      </c>
    </row>
    <row r="80" spans="1:32" x14ac:dyDescent="0.25">
      <c r="A80" s="1">
        <v>80</v>
      </c>
      <c r="B80" s="1" t="s">
        <v>376</v>
      </c>
      <c r="C80" s="2">
        <v>45853.77083333333</v>
      </c>
      <c r="D80" s="2">
        <v>45858.77083333333</v>
      </c>
      <c r="E80" s="1" t="s">
        <v>377</v>
      </c>
      <c r="F80" s="1" t="s">
        <v>153</v>
      </c>
      <c r="G80" s="1" t="s">
        <v>109</v>
      </c>
      <c r="H80" s="1" t="s">
        <v>52</v>
      </c>
      <c r="I80" s="1" t="s">
        <v>118</v>
      </c>
      <c r="J80" s="1" t="s">
        <v>119</v>
      </c>
      <c r="K80" s="1" t="s">
        <v>55</v>
      </c>
      <c r="L80" s="1" t="s">
        <v>56</v>
      </c>
      <c r="M80" s="1" t="s">
        <v>378</v>
      </c>
      <c r="N80" s="1" t="s">
        <v>64</v>
      </c>
      <c r="O80" s="1">
        <v>5</v>
      </c>
      <c r="P80" s="3">
        <v>2129.51</v>
      </c>
      <c r="Q80" s="4">
        <v>0.15</v>
      </c>
      <c r="R80" s="4">
        <v>0.15</v>
      </c>
      <c r="S80" s="3">
        <v>9050.42</v>
      </c>
      <c r="T80" s="3">
        <v>6778.85</v>
      </c>
      <c r="U80" s="3">
        <v>2271.57</v>
      </c>
      <c r="V80" s="1" t="s">
        <v>43</v>
      </c>
      <c r="W80" s="1" t="s">
        <v>44</v>
      </c>
      <c r="X80" s="3">
        <f>IF(OR(O80="",P80="",R80=""),"",O80*P80*(1-R80))</f>
        <v>9050.42</v>
      </c>
      <c r="Y80" s="3">
        <f>IF(OR(X80="",T80=""),"",X80-T80)</f>
        <v>2271.57</v>
      </c>
      <c r="Z80" s="4">
        <f>IFERROR(Y80/X80,"")</f>
        <v>0.251</v>
      </c>
      <c r="AA80" s="1">
        <f>IF(OR(C80="",D80=""),"",D80-C80)</f>
        <v>5</v>
      </c>
      <c r="AB80" s="1">
        <f>IF(C80="","",MONTH(C80))</f>
        <v>7</v>
      </c>
      <c r="AC80" s="1">
        <f>IF(C80="","",YEAR(C80))</f>
        <v>2025</v>
      </c>
      <c r="AD80" s="1" t="s">
        <v>45</v>
      </c>
      <c r="AE80" s="1" t="s">
        <v>46</v>
      </c>
      <c r="AF80" s="1" t="s">
        <v>47</v>
      </c>
    </row>
    <row r="81" spans="1:32" x14ac:dyDescent="0.25">
      <c r="A81" s="1">
        <v>81</v>
      </c>
      <c r="B81" s="1" t="s">
        <v>379</v>
      </c>
      <c r="C81" s="2">
        <v>45926.77083333333</v>
      </c>
      <c r="D81" s="2">
        <v>45932.77083333333</v>
      </c>
      <c r="E81" s="1" t="s">
        <v>380</v>
      </c>
      <c r="F81" s="1" t="s">
        <v>186</v>
      </c>
      <c r="G81" s="1" t="s">
        <v>114</v>
      </c>
      <c r="H81" s="1" t="s">
        <v>71</v>
      </c>
      <c r="I81" s="1" t="s">
        <v>277</v>
      </c>
      <c r="J81" s="1" t="s">
        <v>278</v>
      </c>
      <c r="K81" s="1" t="s">
        <v>55</v>
      </c>
      <c r="L81" s="1" t="s">
        <v>83</v>
      </c>
      <c r="M81" s="1" t="s">
        <v>381</v>
      </c>
      <c r="N81" s="1" t="s">
        <v>58</v>
      </c>
      <c r="O81" s="1">
        <v>9</v>
      </c>
      <c r="P81" s="3">
        <v>4131.52</v>
      </c>
      <c r="Q81" s="4">
        <v>0.1</v>
      </c>
      <c r="R81" s="4">
        <v>0.1</v>
      </c>
      <c r="S81" s="3">
        <v>33465.31</v>
      </c>
      <c r="T81" s="3">
        <v>24781.26</v>
      </c>
      <c r="U81" s="3">
        <v>8684.05</v>
      </c>
      <c r="V81" s="1" t="s">
        <v>43</v>
      </c>
      <c r="W81" s="1" t="s">
        <v>44</v>
      </c>
      <c r="X81" s="3">
        <f>IF(OR(O81="",P81="",R81=""),"",O81*P81*(1-R81))</f>
        <v>33465.31</v>
      </c>
      <c r="Y81" s="3">
        <f>IF(OR(X81="",T81=""),"",X81-T81)</f>
        <v>8684.05</v>
      </c>
      <c r="Z81" s="4">
        <f>IFERROR(Y81/X81,"")</f>
        <v>0.2595</v>
      </c>
      <c r="AA81" s="1">
        <f>IF(OR(C81="",D81=""),"",D81-C81)</f>
        <v>6</v>
      </c>
      <c r="AB81" s="1">
        <f>IF(C81="","",MONTH(C81))</f>
        <v>9</v>
      </c>
      <c r="AC81" s="1">
        <f>IF(C81="","",YEAR(C81))</f>
        <v>2025</v>
      </c>
      <c r="AD81" s="1" t="s">
        <v>45</v>
      </c>
      <c r="AE81" s="1" t="s">
        <v>46</v>
      </c>
      <c r="AF81" s="1" t="s">
        <v>47</v>
      </c>
    </row>
    <row r="82" spans="1:32" s="15" customFormat="1" x14ac:dyDescent="0.25">
      <c r="A82" s="16">
        <v>82</v>
      </c>
      <c r="B82" s="16" t="s">
        <v>382</v>
      </c>
      <c r="C82" s="17">
        <v>45513.77083333333</v>
      </c>
      <c r="D82" s="17">
        <v>45517.77083333333</v>
      </c>
      <c r="E82" s="16" t="s">
        <v>383</v>
      </c>
      <c r="F82" s="16" t="s">
        <v>149</v>
      </c>
      <c r="G82" s="16" t="s">
        <v>51</v>
      </c>
      <c r="H82" s="16" t="s">
        <v>36</v>
      </c>
      <c r="I82" s="16" t="s">
        <v>384</v>
      </c>
      <c r="J82" s="16" t="s">
        <v>385</v>
      </c>
      <c r="K82" s="16" t="s">
        <v>39</v>
      </c>
      <c r="L82" s="16" t="s">
        <v>145</v>
      </c>
      <c r="M82" s="16" t="s">
        <v>386</v>
      </c>
      <c r="N82" s="16" t="s">
        <v>42</v>
      </c>
      <c r="O82" s="16">
        <v>4</v>
      </c>
      <c r="P82" s="18">
        <v>1182.32</v>
      </c>
      <c r="Q82" s="19">
        <v>0.1</v>
      </c>
      <c r="R82" s="19">
        <v>0.1</v>
      </c>
      <c r="S82" s="18">
        <v>4256.35</v>
      </c>
      <c r="T82" s="18">
        <v>2495.33</v>
      </c>
      <c r="U82" s="18">
        <v>1761.02</v>
      </c>
      <c r="V82" s="16" t="s">
        <v>131</v>
      </c>
      <c r="W82" s="16" t="s">
        <v>122</v>
      </c>
      <c r="X82" s="18">
        <f>IF(OR(O82="",P82="",R82=""),"",O82*P82*(1-R82))</f>
        <v>4256.35</v>
      </c>
      <c r="Y82" s="18">
        <f>IF(OR(X82="",T82=""),"",X82-T82)</f>
        <v>1761.02</v>
      </c>
      <c r="Z82" s="19">
        <f>IFERROR(Y82/X82,"")</f>
        <v>0.4137</v>
      </c>
      <c r="AA82" s="16">
        <f>IF(OR(C82="",D82=""),"",D82-C82)</f>
        <v>4</v>
      </c>
      <c r="AB82" s="16">
        <f>IF(C82="","",MONTH(C82))</f>
        <v>8</v>
      </c>
      <c r="AC82" s="16">
        <f>IF(C82="","",YEAR(C82))</f>
        <v>2024</v>
      </c>
      <c r="AD82" s="16" t="s">
        <v>86</v>
      </c>
      <c r="AE82" s="16" t="s">
        <v>66</v>
      </c>
      <c r="AF82" s="16" t="s">
        <v>132</v>
      </c>
    </row>
    <row r="83" spans="1:32" x14ac:dyDescent="0.25">
      <c r="A83" s="1">
        <v>83</v>
      </c>
      <c r="B83" s="1" t="s">
        <v>387</v>
      </c>
      <c r="C83" s="2">
        <v>45731.77083333333</v>
      </c>
      <c r="D83" s="2">
        <v>45732.77083333333</v>
      </c>
      <c r="E83" s="1" t="s">
        <v>388</v>
      </c>
      <c r="F83" s="1" t="s">
        <v>34</v>
      </c>
      <c r="G83" s="1" t="s">
        <v>114</v>
      </c>
      <c r="H83" s="1" t="s">
        <v>80</v>
      </c>
      <c r="I83" s="1" t="s">
        <v>216</v>
      </c>
      <c r="J83" s="1" t="s">
        <v>217</v>
      </c>
      <c r="K83" s="1" t="s">
        <v>39</v>
      </c>
      <c r="L83" s="1" t="s">
        <v>110</v>
      </c>
      <c r="M83" s="1" t="s">
        <v>389</v>
      </c>
      <c r="N83" s="1" t="s">
        <v>58</v>
      </c>
      <c r="O83" s="1">
        <v>3</v>
      </c>
      <c r="P83" s="3">
        <v>1841.91</v>
      </c>
      <c r="Q83" s="4">
        <v>0</v>
      </c>
      <c r="R83" s="4">
        <v>0</v>
      </c>
      <c r="S83" s="3">
        <v>5525.73</v>
      </c>
      <c r="T83" s="3">
        <v>3093.42</v>
      </c>
      <c r="U83" s="3">
        <v>2432.31</v>
      </c>
      <c r="V83" s="1" t="s">
        <v>43</v>
      </c>
      <c r="W83" s="1" t="s">
        <v>44</v>
      </c>
      <c r="X83" s="3">
        <f>IF(OR(O83="",P83="",R83=""),"",O83*P83*(1-R83))</f>
        <v>5525.73</v>
      </c>
      <c r="Y83" s="3">
        <f>IF(OR(X83="",T83=""),"",X83-T83)</f>
        <v>2432.31</v>
      </c>
      <c r="Z83" s="4">
        <f>IFERROR(Y83/X83,"")</f>
        <v>0.4402</v>
      </c>
      <c r="AA83" s="1">
        <f>IF(OR(C83="",D83=""),"",D83-C83)</f>
        <v>1</v>
      </c>
      <c r="AB83" s="1">
        <f>IF(C83="","",MONTH(C83))</f>
        <v>3</v>
      </c>
      <c r="AC83" s="1">
        <f>IF(C83="","",YEAR(C83))</f>
        <v>2025</v>
      </c>
      <c r="AD83" s="1" t="s">
        <v>45</v>
      </c>
      <c r="AE83" s="1" t="s">
        <v>46</v>
      </c>
      <c r="AF83" s="1" t="s">
        <v>47</v>
      </c>
    </row>
    <row r="84" spans="1:32" s="15" customFormat="1" x14ac:dyDescent="0.25">
      <c r="A84" s="16">
        <v>84</v>
      </c>
      <c r="B84" s="16" t="s">
        <v>390</v>
      </c>
      <c r="C84" s="17">
        <v>45506.77083333333</v>
      </c>
      <c r="D84" s="17">
        <v>45507.77083333333</v>
      </c>
      <c r="E84" s="16" t="s">
        <v>391</v>
      </c>
      <c r="F84" s="16" t="s">
        <v>70</v>
      </c>
      <c r="G84" s="16" t="s">
        <v>35</v>
      </c>
      <c r="H84" s="16" t="s">
        <v>36</v>
      </c>
      <c r="I84" s="16" t="s">
        <v>157</v>
      </c>
      <c r="J84" s="16" t="s">
        <v>158</v>
      </c>
      <c r="K84" s="16" t="s">
        <v>93</v>
      </c>
      <c r="L84" s="16" t="s">
        <v>99</v>
      </c>
      <c r="M84" s="16" t="s">
        <v>392</v>
      </c>
      <c r="N84" s="16" t="s">
        <v>42</v>
      </c>
      <c r="O84" s="16">
        <v>6</v>
      </c>
      <c r="P84" s="18">
        <v>1001.73</v>
      </c>
      <c r="Q84" s="19">
        <v>0</v>
      </c>
      <c r="R84" s="19">
        <v>0</v>
      </c>
      <c r="S84" s="18">
        <v>6010.38</v>
      </c>
      <c r="T84" s="18">
        <v>3762.85</v>
      </c>
      <c r="U84" s="18">
        <v>2247.53</v>
      </c>
      <c r="V84" s="16" t="s">
        <v>178</v>
      </c>
      <c r="W84" s="16" t="s">
        <v>122</v>
      </c>
      <c r="X84" s="18">
        <f>IF(OR(O84="",P84="",R84=""),"",O84*P84*(1-R84))</f>
        <v>6010.38</v>
      </c>
      <c r="Y84" s="18">
        <f>IF(OR(X84="",T84=""),"",X84-T84)</f>
        <v>2247.53</v>
      </c>
      <c r="Z84" s="19">
        <f>IFERROR(Y84/X84,"")</f>
        <v>0.3739</v>
      </c>
      <c r="AA84" s="16">
        <f>IF(OR(C84="",D84=""),"",D84-C84)</f>
        <v>1</v>
      </c>
      <c r="AB84" s="16">
        <f>IF(C84="","",MONTH(C84))</f>
        <v>8</v>
      </c>
      <c r="AC84" s="16">
        <f>IF(C84="","",YEAR(C84))</f>
        <v>2024</v>
      </c>
      <c r="AD84" s="16" t="s">
        <v>86</v>
      </c>
      <c r="AE84" s="16" t="s">
        <v>66</v>
      </c>
      <c r="AF84" s="16" t="s">
        <v>179</v>
      </c>
    </row>
    <row r="85" spans="1:32" x14ac:dyDescent="0.25">
      <c r="A85" s="1">
        <v>85</v>
      </c>
      <c r="B85" s="1" t="s">
        <v>393</v>
      </c>
      <c r="C85" s="2">
        <v>45590.77083333333</v>
      </c>
      <c r="D85" s="2">
        <v>45593.77083333333</v>
      </c>
      <c r="E85" s="1" t="s">
        <v>394</v>
      </c>
      <c r="F85" s="1" t="s">
        <v>108</v>
      </c>
      <c r="G85" s="1" t="s">
        <v>114</v>
      </c>
      <c r="H85" s="1" t="s">
        <v>80</v>
      </c>
      <c r="I85" s="1" t="s">
        <v>81</v>
      </c>
      <c r="J85" s="1" t="s">
        <v>82</v>
      </c>
      <c r="K85" s="1" t="s">
        <v>55</v>
      </c>
      <c r="L85" s="1" t="s">
        <v>56</v>
      </c>
      <c r="M85" s="1" t="s">
        <v>395</v>
      </c>
      <c r="N85" s="1" t="s">
        <v>42</v>
      </c>
      <c r="O85" s="1">
        <v>9</v>
      </c>
      <c r="P85" s="3">
        <v>131.74</v>
      </c>
      <c r="Q85" s="4">
        <v>0.2</v>
      </c>
      <c r="R85" s="4">
        <v>0.2</v>
      </c>
      <c r="S85" s="3">
        <v>948.53</v>
      </c>
      <c r="T85" s="3">
        <v>674.62</v>
      </c>
      <c r="U85" s="3">
        <v>273.91</v>
      </c>
      <c r="V85" s="1" t="s">
        <v>43</v>
      </c>
      <c r="W85" s="1" t="s">
        <v>44</v>
      </c>
      <c r="X85" s="3">
        <f>IF(OR(O85="",P85="",R85=""),"",O85*P85*(1-R85))</f>
        <v>948.53</v>
      </c>
      <c r="Y85" s="3">
        <f>IF(OR(X85="",T85=""),"",X85-T85)</f>
        <v>273.91</v>
      </c>
      <c r="Z85" s="4">
        <f>IFERROR(Y85/X85,"")</f>
        <v>0.2888</v>
      </c>
      <c r="AA85" s="1">
        <f>IF(OR(C85="",D85=""),"",D85-C85)</f>
        <v>3</v>
      </c>
      <c r="AB85" s="1">
        <f>IF(C85="","",MONTH(C85))</f>
        <v>10</v>
      </c>
      <c r="AC85" s="1">
        <f>IF(C85="","",YEAR(C85))</f>
        <v>2024</v>
      </c>
      <c r="AD85" s="1" t="s">
        <v>45</v>
      </c>
      <c r="AE85" s="1" t="s">
        <v>46</v>
      </c>
      <c r="AF85" s="1" t="s">
        <v>47</v>
      </c>
    </row>
    <row r="86" spans="1:32" x14ac:dyDescent="0.25">
      <c r="A86" s="1">
        <v>86</v>
      </c>
      <c r="B86" s="1" t="s">
        <v>396</v>
      </c>
      <c r="C86" s="2">
        <v>45565.77083333333</v>
      </c>
      <c r="D86" s="2">
        <v>45567.77083333333</v>
      </c>
      <c r="E86" s="1" t="s">
        <v>397</v>
      </c>
      <c r="F86" s="1" t="s">
        <v>163</v>
      </c>
      <c r="G86" s="1" t="s">
        <v>109</v>
      </c>
      <c r="H86" s="1" t="s">
        <v>71</v>
      </c>
      <c r="I86" s="1" t="s">
        <v>277</v>
      </c>
      <c r="J86" s="1" t="s">
        <v>278</v>
      </c>
      <c r="K86" s="1" t="s">
        <v>93</v>
      </c>
      <c r="L86" s="1" t="s">
        <v>196</v>
      </c>
      <c r="M86" s="1" t="s">
        <v>398</v>
      </c>
      <c r="N86" s="1" t="s">
        <v>42</v>
      </c>
      <c r="O86" s="1">
        <v>6</v>
      </c>
      <c r="P86" s="3">
        <v>570.28</v>
      </c>
      <c r="Q86" s="4">
        <v>0.2</v>
      </c>
      <c r="R86" s="4">
        <v>0.2</v>
      </c>
      <c r="S86" s="3">
        <v>2737.34</v>
      </c>
      <c r="T86" s="3">
        <v>2085.44</v>
      </c>
      <c r="U86" s="3">
        <v>651.9</v>
      </c>
      <c r="V86" s="1" t="s">
        <v>43</v>
      </c>
      <c r="W86" s="1" t="s">
        <v>44</v>
      </c>
      <c r="X86" s="3">
        <f>IF(OR(O86="",P86="",R86=""),"",O86*P86*(1-R86))</f>
        <v>2737.34</v>
      </c>
      <c r="Y86" s="3">
        <f>IF(OR(X86="",T86=""),"",X86-T86)</f>
        <v>651.9</v>
      </c>
      <c r="Z86" s="4">
        <f>IFERROR(Y86/X86,"")</f>
        <v>0.2382</v>
      </c>
      <c r="AA86" s="1">
        <f>IF(OR(C86="",D86=""),"",D86-C86)</f>
        <v>2</v>
      </c>
      <c r="AB86" s="1">
        <f>IF(C86="","",MONTH(C86))</f>
        <v>10</v>
      </c>
      <c r="AC86" s="1">
        <f>IF(C86="","",YEAR(C86))</f>
        <v>2024</v>
      </c>
      <c r="AD86" s="1" t="s">
        <v>45</v>
      </c>
      <c r="AE86" s="1" t="s">
        <v>46</v>
      </c>
      <c r="AF86" s="1" t="s">
        <v>47</v>
      </c>
    </row>
    <row r="87" spans="1:32" s="15" customFormat="1" x14ac:dyDescent="0.25">
      <c r="A87" s="16">
        <v>87</v>
      </c>
      <c r="B87" s="16" t="s">
        <v>399</v>
      </c>
      <c r="C87" s="17">
        <v>45502.77083333333</v>
      </c>
      <c r="D87" s="17">
        <v>45508.77083333333</v>
      </c>
      <c r="E87" s="16" t="s">
        <v>400</v>
      </c>
      <c r="F87" s="16" t="s">
        <v>294</v>
      </c>
      <c r="G87" s="16" t="s">
        <v>109</v>
      </c>
      <c r="H87" s="16" t="s">
        <v>36</v>
      </c>
      <c r="I87" s="16" t="s">
        <v>384</v>
      </c>
      <c r="J87" s="16" t="s">
        <v>385</v>
      </c>
      <c r="K87" s="16" t="s">
        <v>39</v>
      </c>
      <c r="L87" s="16" t="s">
        <v>176</v>
      </c>
      <c r="M87" s="16" t="s">
        <v>401</v>
      </c>
      <c r="N87" s="16" t="s">
        <v>76</v>
      </c>
      <c r="O87" s="16">
        <v>1</v>
      </c>
      <c r="P87" s="18">
        <v>608.64</v>
      </c>
      <c r="Q87" s="19">
        <v>0</v>
      </c>
      <c r="R87" s="19">
        <v>0</v>
      </c>
      <c r="S87" s="18">
        <v>608.64</v>
      </c>
      <c r="T87" s="18">
        <v>343.99</v>
      </c>
      <c r="U87" s="18">
        <v>264.65</v>
      </c>
      <c r="V87" s="16" t="s">
        <v>43</v>
      </c>
      <c r="W87" s="16" t="s">
        <v>85</v>
      </c>
      <c r="X87" s="18">
        <f>IF(OR(O87="",P87="",R87=""),"",O87*P87*(1-R87))</f>
        <v>608.64</v>
      </c>
      <c r="Y87" s="18">
        <f>IF(OR(X87="",T87=""),"",X87-T87)</f>
        <v>264.65</v>
      </c>
      <c r="Z87" s="19">
        <f>IFERROR(Y87/X87,"")</f>
        <v>0.4348</v>
      </c>
      <c r="AA87" s="16">
        <f>IF(OR(C87="",D87=""),"",D87-C87)</f>
        <v>6</v>
      </c>
      <c r="AB87" s="16">
        <f>IF(C87="","",MONTH(C87))</f>
        <v>7</v>
      </c>
      <c r="AC87" s="16">
        <f>IF(C87="","",YEAR(C87))</f>
        <v>2024</v>
      </c>
      <c r="AD87" s="16" t="s">
        <v>86</v>
      </c>
      <c r="AE87" s="16" t="s">
        <v>66</v>
      </c>
      <c r="AF87" s="16" t="s">
        <v>87</v>
      </c>
    </row>
    <row r="88" spans="1:32" s="15" customFormat="1" x14ac:dyDescent="0.25">
      <c r="A88" s="16">
        <v>88</v>
      </c>
      <c r="B88" s="16" t="s">
        <v>402</v>
      </c>
      <c r="C88" s="17">
        <v>45473.77083333333</v>
      </c>
      <c r="D88" s="17">
        <v>45473.77083333333</v>
      </c>
      <c r="E88" s="16" t="s">
        <v>403</v>
      </c>
      <c r="F88" s="16" t="s">
        <v>79</v>
      </c>
      <c r="G88" s="16" t="s">
        <v>51</v>
      </c>
      <c r="H88" s="16" t="s">
        <v>36</v>
      </c>
      <c r="I88" s="16" t="s">
        <v>384</v>
      </c>
      <c r="J88" s="16" t="s">
        <v>385</v>
      </c>
      <c r="K88" s="16" t="s">
        <v>93</v>
      </c>
      <c r="L88" s="16" t="s">
        <v>99</v>
      </c>
      <c r="M88" s="16" t="s">
        <v>404</v>
      </c>
      <c r="N88" s="16" t="s">
        <v>42</v>
      </c>
      <c r="O88" s="16">
        <v>3</v>
      </c>
      <c r="P88" s="18">
        <v>885.28</v>
      </c>
      <c r="Q88" s="19">
        <v>0.1</v>
      </c>
      <c r="R88" s="19">
        <v>0.1</v>
      </c>
      <c r="S88" s="18">
        <v>2390.26</v>
      </c>
      <c r="T88" s="18">
        <v>1495.94</v>
      </c>
      <c r="U88" s="18">
        <v>894.32</v>
      </c>
      <c r="V88" s="16" t="s">
        <v>121</v>
      </c>
      <c r="W88" s="16" t="s">
        <v>85</v>
      </c>
      <c r="X88" s="18">
        <f>IF(OR(O88="",P88="",R88=""),"",O88*P88*(1-R88))</f>
        <v>2390.26</v>
      </c>
      <c r="Y88" s="18">
        <f>IF(OR(X88="",T88=""),"",X88-T88)</f>
        <v>894.32</v>
      </c>
      <c r="Z88" s="19">
        <f>IFERROR(Y88/X88,"")</f>
        <v>0.3742</v>
      </c>
      <c r="AA88" s="16">
        <f>IF(OR(C88="",D88=""),"",D88-C88)</f>
        <v>0</v>
      </c>
      <c r="AB88" s="16">
        <f>IF(C88="","",MONTH(C88))</f>
        <v>7</v>
      </c>
      <c r="AC88" s="16">
        <f>IF(C88="","",YEAR(C88))</f>
        <v>2024</v>
      </c>
      <c r="AD88" s="16" t="s">
        <v>86</v>
      </c>
      <c r="AE88" s="16" t="s">
        <v>66</v>
      </c>
      <c r="AF88" s="16" t="s">
        <v>160</v>
      </c>
    </row>
    <row r="89" spans="1:32" x14ac:dyDescent="0.25">
      <c r="A89" s="1">
        <v>89</v>
      </c>
      <c r="B89" s="1" t="s">
        <v>405</v>
      </c>
      <c r="C89" s="2">
        <v>45505.77083333333</v>
      </c>
      <c r="D89" s="2">
        <v>45506.77083333333</v>
      </c>
      <c r="E89" s="1" t="s">
        <v>406</v>
      </c>
      <c r="F89" s="1" t="s">
        <v>90</v>
      </c>
      <c r="G89" s="1" t="s">
        <v>35</v>
      </c>
      <c r="H89" s="1" t="s">
        <v>52</v>
      </c>
      <c r="I89" s="1" t="s">
        <v>191</v>
      </c>
      <c r="J89" s="1" t="s">
        <v>192</v>
      </c>
      <c r="K89" s="1" t="s">
        <v>39</v>
      </c>
      <c r="L89" s="1" t="s">
        <v>176</v>
      </c>
      <c r="M89" s="1" t="s">
        <v>407</v>
      </c>
      <c r="N89" s="1" t="s">
        <v>76</v>
      </c>
      <c r="O89" s="1">
        <v>7</v>
      </c>
      <c r="P89" s="3">
        <v>3345.22</v>
      </c>
      <c r="Q89" s="4">
        <v>0</v>
      </c>
      <c r="R89" s="4">
        <v>0</v>
      </c>
      <c r="S89" s="3">
        <v>23416.54</v>
      </c>
      <c r="T89" s="3">
        <v>15490.89</v>
      </c>
      <c r="U89" s="3">
        <v>7925.65</v>
      </c>
      <c r="V89" s="1" t="s">
        <v>43</v>
      </c>
      <c r="W89" s="1" t="s">
        <v>44</v>
      </c>
      <c r="X89" s="3">
        <f>IF(OR(O89="",P89="",R89=""),"",O89*P89*(1-R89))</f>
        <v>23416.54</v>
      </c>
      <c r="Y89" s="3">
        <f>IF(OR(X89="",T89=""),"",X89-T89)</f>
        <v>7925.65</v>
      </c>
      <c r="Z89" s="4">
        <f>IFERROR(Y89/X89,"")</f>
        <v>0.3385</v>
      </c>
      <c r="AA89" s="1">
        <f>IF(OR(C89="",D89=""),"",D89-C89)</f>
        <v>1</v>
      </c>
      <c r="AB89" s="1">
        <f>IF(C89="","",MONTH(C89))</f>
        <v>8</v>
      </c>
      <c r="AC89" s="1">
        <f>IF(C89="","",YEAR(C89))</f>
        <v>2024</v>
      </c>
      <c r="AD89" s="1" t="s">
        <v>45</v>
      </c>
      <c r="AE89" s="1" t="s">
        <v>46</v>
      </c>
      <c r="AF89" s="1" t="s">
        <v>47</v>
      </c>
    </row>
    <row r="90" spans="1:32" x14ac:dyDescent="0.25">
      <c r="A90" s="1">
        <v>90</v>
      </c>
      <c r="B90" s="1" t="s">
        <v>408</v>
      </c>
      <c r="C90" s="2">
        <v>45374.77083333333</v>
      </c>
      <c r="D90" s="2">
        <v>45377.77083333333</v>
      </c>
      <c r="E90" s="1" t="s">
        <v>409</v>
      </c>
      <c r="F90" s="1" t="s">
        <v>163</v>
      </c>
      <c r="G90" s="1" t="s">
        <v>51</v>
      </c>
      <c r="H90" s="1" t="s">
        <v>80</v>
      </c>
      <c r="I90" s="1" t="s">
        <v>81</v>
      </c>
      <c r="J90" s="1" t="s">
        <v>82</v>
      </c>
      <c r="K90" s="1" t="s">
        <v>55</v>
      </c>
      <c r="L90" s="1" t="s">
        <v>182</v>
      </c>
      <c r="M90" s="1" t="s">
        <v>410</v>
      </c>
      <c r="N90" s="1" t="s">
        <v>76</v>
      </c>
      <c r="O90" s="1">
        <v>2</v>
      </c>
      <c r="P90" s="3">
        <v>3284.75</v>
      </c>
      <c r="Q90" s="4">
        <v>0.05</v>
      </c>
      <c r="R90" s="4">
        <v>0.05</v>
      </c>
      <c r="S90" s="3">
        <v>6241.02</v>
      </c>
      <c r="T90" s="3">
        <v>5345.88</v>
      </c>
      <c r="U90" s="3">
        <v>895.14</v>
      </c>
      <c r="V90" s="1" t="s">
        <v>43</v>
      </c>
      <c r="W90" s="1" t="s">
        <v>44</v>
      </c>
      <c r="X90" s="3">
        <f>IF(OR(O90="",P90="",R90=""),"",O90*P90*(1-R90))</f>
        <v>6241.03</v>
      </c>
      <c r="Y90" s="3">
        <f>IF(OR(X90="",T90=""),"",X90-T90)</f>
        <v>895.15</v>
      </c>
      <c r="Z90" s="4">
        <f>IFERROR(Y90/X90,"")</f>
        <v>0.1434</v>
      </c>
      <c r="AA90" s="1">
        <f>IF(OR(C90="",D90=""),"",D90-C90)</f>
        <v>3</v>
      </c>
      <c r="AB90" s="1">
        <f>IF(C90="","",MONTH(C90))</f>
        <v>3</v>
      </c>
      <c r="AC90" s="1">
        <f>IF(C90="","",YEAR(C90))</f>
        <v>2024</v>
      </c>
      <c r="AD90" s="1" t="s">
        <v>45</v>
      </c>
      <c r="AE90" s="1" t="s">
        <v>46</v>
      </c>
      <c r="AF90" s="1" t="s">
        <v>47</v>
      </c>
    </row>
    <row r="91" spans="1:32" s="15" customFormat="1" x14ac:dyDescent="0.25">
      <c r="A91" s="16">
        <v>91</v>
      </c>
      <c r="B91" s="16" t="s">
        <v>411</v>
      </c>
      <c r="C91" s="17">
        <v>45539.77083333333</v>
      </c>
      <c r="D91" s="17">
        <v>45539.77083333333</v>
      </c>
      <c r="E91" s="16" t="s">
        <v>412</v>
      </c>
      <c r="F91" s="16" t="s">
        <v>294</v>
      </c>
      <c r="G91" s="16" t="s">
        <v>35</v>
      </c>
      <c r="H91" s="16" t="s">
        <v>71</v>
      </c>
      <c r="I91" s="16" t="s">
        <v>103</v>
      </c>
      <c r="J91" s="16" t="s">
        <v>104</v>
      </c>
      <c r="K91" s="16" t="s">
        <v>55</v>
      </c>
      <c r="L91" s="16" t="s">
        <v>182</v>
      </c>
      <c r="M91" s="16" t="s">
        <v>413</v>
      </c>
      <c r="N91" s="16" t="s">
        <v>76</v>
      </c>
      <c r="O91" s="16">
        <v>7</v>
      </c>
      <c r="P91" s="18">
        <v>3761.09</v>
      </c>
      <c r="Q91" s="19">
        <v>0.2</v>
      </c>
      <c r="R91" s="19">
        <v>0.2</v>
      </c>
      <c r="S91" s="18">
        <v>21062.1</v>
      </c>
      <c r="T91" s="18">
        <v>12057.13</v>
      </c>
      <c r="U91" s="18">
        <v>9004.97</v>
      </c>
      <c r="V91" s="16" t="s">
        <v>131</v>
      </c>
      <c r="W91" s="16" t="s">
        <v>85</v>
      </c>
      <c r="X91" s="18">
        <f>IF(OR(O91="",P91="",R91=""),"",O91*P91*(1-R91))</f>
        <v>21062.1</v>
      </c>
      <c r="Y91" s="18">
        <f>IF(OR(X91="",T91=""),"",X91-T91)</f>
        <v>9004.97</v>
      </c>
      <c r="Z91" s="19">
        <f>IFERROR(Y91/X91,"")</f>
        <v>0.4275</v>
      </c>
      <c r="AA91" s="16">
        <f>IF(OR(C91="",D91=""),"",D91-C91)</f>
        <v>0</v>
      </c>
      <c r="AB91" s="16">
        <f>IF(C91="","",MONTH(C91))</f>
        <v>9</v>
      </c>
      <c r="AC91" s="16">
        <f>IF(C91="","",YEAR(C91))</f>
        <v>2024</v>
      </c>
      <c r="AD91" s="16" t="s">
        <v>86</v>
      </c>
      <c r="AE91" s="16" t="s">
        <v>66</v>
      </c>
      <c r="AF91" s="16" t="s">
        <v>255</v>
      </c>
    </row>
    <row r="92" spans="1:32" s="10" customFormat="1" x14ac:dyDescent="0.25">
      <c r="A92" s="11">
        <v>92</v>
      </c>
      <c r="B92" s="11" t="s">
        <v>414</v>
      </c>
      <c r="C92" s="12">
        <v>45892.77083333333</v>
      </c>
      <c r="D92" s="12">
        <v>45897.77083333333</v>
      </c>
      <c r="E92" s="11" t="s">
        <v>415</v>
      </c>
      <c r="F92" s="11" t="s">
        <v>149</v>
      </c>
      <c r="G92" s="11" t="s">
        <v>51</v>
      </c>
      <c r="H92" s="11" t="s">
        <v>52</v>
      </c>
      <c r="I92" s="11" t="s">
        <v>168</v>
      </c>
      <c r="J92" s="11" t="s">
        <v>169</v>
      </c>
      <c r="K92" s="11" t="s">
        <v>93</v>
      </c>
      <c r="L92" s="11" t="s">
        <v>99</v>
      </c>
      <c r="M92" s="11" t="s">
        <v>416</v>
      </c>
      <c r="N92" s="11" t="s">
        <v>64</v>
      </c>
      <c r="O92" s="11">
        <v>3</v>
      </c>
      <c r="P92" s="13">
        <v>3703.96</v>
      </c>
      <c r="Q92" s="14">
        <v>0.15</v>
      </c>
      <c r="R92" s="14">
        <v>0.15</v>
      </c>
      <c r="S92" s="13">
        <v>9445.1</v>
      </c>
      <c r="T92" s="13">
        <v>5586.28</v>
      </c>
      <c r="U92" s="13">
        <v>3858.82</v>
      </c>
      <c r="V92" s="11" t="s">
        <v>43</v>
      </c>
      <c r="W92" s="11" t="s">
        <v>44</v>
      </c>
      <c r="X92" s="13">
        <f>IF(OR(O92="",P92="",R92=""),"",O92*P92*(1-R92))</f>
        <v>9445.1</v>
      </c>
      <c r="Y92" s="13">
        <f>IF(OR(X92="",T92=""),"",X92-T92)</f>
        <v>3858.82</v>
      </c>
      <c r="Z92" s="14">
        <f>IFERROR(Y92/X92,"")</f>
        <v>0.4086</v>
      </c>
      <c r="AA92" s="11">
        <f>IF(OR(C92="",D92=""),"",D92-C92)</f>
        <v>5</v>
      </c>
      <c r="AB92" s="11">
        <f>IF(C92="","",MONTH(C92))</f>
        <v>8</v>
      </c>
      <c r="AC92" s="11">
        <f>IF(C92="","",YEAR(C92))</f>
        <v>2025</v>
      </c>
      <c r="AD92" s="11" t="s">
        <v>65</v>
      </c>
      <c r="AE92" s="11" t="s">
        <v>66</v>
      </c>
      <c r="AF92" s="11" t="s">
        <v>417</v>
      </c>
    </row>
    <row r="93" spans="1:32" s="10" customFormat="1" x14ac:dyDescent="0.25">
      <c r="A93" s="11">
        <v>93</v>
      </c>
      <c r="B93" s="11" t="s">
        <v>418</v>
      </c>
      <c r="C93" s="12">
        <v>45717.77083333333</v>
      </c>
      <c r="D93" s="12">
        <v>45723.77083333333</v>
      </c>
      <c r="E93" s="11" t="s">
        <v>419</v>
      </c>
      <c r="F93" s="11" t="s">
        <v>153</v>
      </c>
      <c r="G93" s="11" t="s">
        <v>109</v>
      </c>
      <c r="H93" s="11" t="s">
        <v>80</v>
      </c>
      <c r="I93" s="11" t="s">
        <v>91</v>
      </c>
      <c r="J93" s="11" t="s">
        <v>92</v>
      </c>
      <c r="K93" s="11" t="s">
        <v>93</v>
      </c>
      <c r="L93" s="11" t="s">
        <v>99</v>
      </c>
      <c r="M93" s="11" t="s">
        <v>420</v>
      </c>
      <c r="N93" s="11" t="s">
        <v>42</v>
      </c>
      <c r="O93" s="11">
        <v>9</v>
      </c>
      <c r="P93" s="13">
        <v>269.68</v>
      </c>
      <c r="Q93" s="14">
        <v>0</v>
      </c>
      <c r="R93" s="14">
        <v>0</v>
      </c>
      <c r="S93" s="13">
        <v>2427.12</v>
      </c>
      <c r="T93" s="13">
        <v>1538.35</v>
      </c>
      <c r="U93" s="13">
        <v>804.53</v>
      </c>
      <c r="V93" s="11" t="s">
        <v>43</v>
      </c>
      <c r="W93" s="11" t="s">
        <v>44</v>
      </c>
      <c r="X93" s="13">
        <f>IF(OR(O93="",P93="",R93=""),"",O93*P93*(1-R93))</f>
        <v>2427.12</v>
      </c>
      <c r="Y93" s="13">
        <f>IF(OR(X93="",T93=""),"",X93-T93)</f>
        <v>888.77</v>
      </c>
      <c r="Z93" s="14">
        <f>IFERROR(Y93/X93,"")</f>
        <v>0.3662</v>
      </c>
      <c r="AA93" s="11">
        <f>IF(OR(C93="",D93=""),"",D93-C93)</f>
        <v>6</v>
      </c>
      <c r="AB93" s="11">
        <f>IF(C93="","",MONTH(C93))</f>
        <v>3</v>
      </c>
      <c r="AC93" s="11">
        <f>IF(C93="","",YEAR(C93))</f>
        <v>2025</v>
      </c>
      <c r="AD93" s="11" t="s">
        <v>65</v>
      </c>
      <c r="AE93" s="11" t="s">
        <v>66</v>
      </c>
      <c r="AF93" s="11" t="s">
        <v>332</v>
      </c>
    </row>
    <row r="94" spans="1:32" x14ac:dyDescent="0.25">
      <c r="A94" s="1">
        <v>94</v>
      </c>
      <c r="B94" s="1" t="s">
        <v>421</v>
      </c>
      <c r="C94" s="2">
        <v>45679.77083333333</v>
      </c>
      <c r="D94" s="2">
        <v>45682.77083333333</v>
      </c>
      <c r="E94" s="1" t="s">
        <v>422</v>
      </c>
      <c r="F94" s="1" t="s">
        <v>149</v>
      </c>
      <c r="G94" s="1" t="s">
        <v>35</v>
      </c>
      <c r="H94" s="1" t="s">
        <v>80</v>
      </c>
      <c r="I94" s="1" t="s">
        <v>91</v>
      </c>
      <c r="J94" s="1" t="s">
        <v>92</v>
      </c>
      <c r="K94" s="1" t="s">
        <v>39</v>
      </c>
      <c r="L94" s="1" t="s">
        <v>40</v>
      </c>
      <c r="M94" s="1" t="s">
        <v>423</v>
      </c>
      <c r="N94" s="1" t="s">
        <v>76</v>
      </c>
      <c r="O94" s="1">
        <v>9</v>
      </c>
      <c r="P94" s="3">
        <v>4458.26</v>
      </c>
      <c r="Q94" s="4">
        <v>0.1</v>
      </c>
      <c r="R94" s="4">
        <v>0.1</v>
      </c>
      <c r="S94" s="3">
        <v>36111.91</v>
      </c>
      <c r="T94" s="3">
        <v>29194.5</v>
      </c>
      <c r="U94" s="3">
        <v>6917.41</v>
      </c>
      <c r="V94" s="1" t="s">
        <v>43</v>
      </c>
      <c r="W94" s="1" t="s">
        <v>44</v>
      </c>
      <c r="X94" s="3">
        <f>IF(OR(O94="",P94="",R94=""),"",O94*P94*(1-R94))</f>
        <v>36111.91</v>
      </c>
      <c r="Y94" s="3">
        <f>IF(OR(X94="",T94=""),"",X94-T94)</f>
        <v>6917.41</v>
      </c>
      <c r="Z94" s="4">
        <f>IFERROR(Y94/X94,"")</f>
        <v>0.1916</v>
      </c>
      <c r="AA94" s="1">
        <f>IF(OR(C94="",D94=""),"",D94-C94)</f>
        <v>3</v>
      </c>
      <c r="AB94" s="1">
        <f>IF(C94="","",MONTH(C94))</f>
        <v>1</v>
      </c>
      <c r="AC94" s="1">
        <f>IF(C94="","",YEAR(C94))</f>
        <v>2025</v>
      </c>
      <c r="AD94" s="1" t="s">
        <v>45</v>
      </c>
      <c r="AE94" s="1" t="s">
        <v>46</v>
      </c>
      <c r="AF94" s="1" t="s">
        <v>47</v>
      </c>
    </row>
    <row r="95" spans="1:32" s="10" customFormat="1" x14ac:dyDescent="0.25">
      <c r="A95" s="11">
        <v>95</v>
      </c>
      <c r="B95" s="11" t="s">
        <v>424</v>
      </c>
      <c r="C95" s="12">
        <v>45297.77083333333</v>
      </c>
      <c r="D95" s="12">
        <v>45303.77083333333</v>
      </c>
      <c r="E95" s="11" t="s">
        <v>425</v>
      </c>
      <c r="F95" s="11" t="s">
        <v>163</v>
      </c>
      <c r="G95" s="11" t="s">
        <v>109</v>
      </c>
      <c r="H95" s="11" t="s">
        <v>36</v>
      </c>
      <c r="I95" s="11" t="s">
        <v>157</v>
      </c>
      <c r="J95" s="11" t="s">
        <v>158</v>
      </c>
      <c r="K95" s="11" t="s">
        <v>39</v>
      </c>
      <c r="L95" s="11" t="s">
        <v>176</v>
      </c>
      <c r="M95" s="11" t="s">
        <v>426</v>
      </c>
      <c r="N95" s="11" t="s">
        <v>76</v>
      </c>
      <c r="O95" s="11">
        <v>7</v>
      </c>
      <c r="P95" s="13">
        <v>2788.97</v>
      </c>
      <c r="Q95" s="14">
        <v>-0.09</v>
      </c>
      <c r="R95" s="14">
        <v>-0.09</v>
      </c>
      <c r="S95" s="13">
        <v>19522.79</v>
      </c>
      <c r="T95" s="13">
        <v>12455.78</v>
      </c>
      <c r="U95" s="13">
        <v>7067.01</v>
      </c>
      <c r="V95" s="11" t="s">
        <v>43</v>
      </c>
      <c r="W95" s="11" t="s">
        <v>44</v>
      </c>
      <c r="X95" s="13">
        <f>IF(OR(O95="",P95="",R95=""),"",O95*P95*(1-R95))</f>
        <v>21279.84</v>
      </c>
      <c r="Y95" s="13">
        <f>IF(OR(X95="",T95=""),"",X95-T95)</f>
        <v>8824.06</v>
      </c>
      <c r="Z95" s="14">
        <f>IFERROR(Y95/X95,"")</f>
        <v>0.4147</v>
      </c>
      <c r="AA95" s="11">
        <f>IF(OR(C95="",D95=""),"",D95-C95)</f>
        <v>6</v>
      </c>
      <c r="AB95" s="11">
        <f>IF(C95="","",MONTH(C95))</f>
        <v>1</v>
      </c>
      <c r="AC95" s="11">
        <f>IF(C95="","",YEAR(C95))</f>
        <v>2024</v>
      </c>
      <c r="AD95" s="11" t="s">
        <v>65</v>
      </c>
      <c r="AE95" s="11" t="s">
        <v>66</v>
      </c>
      <c r="AF95" s="11" t="s">
        <v>165</v>
      </c>
    </row>
    <row r="96" spans="1:32" s="15" customFormat="1" x14ac:dyDescent="0.25">
      <c r="A96" s="16">
        <v>96</v>
      </c>
      <c r="B96" s="16" t="s">
        <v>427</v>
      </c>
      <c r="C96" s="17">
        <v>45540.77083333333</v>
      </c>
      <c r="D96" s="17">
        <v>45543.77083333333</v>
      </c>
      <c r="E96" s="16" t="s">
        <v>428</v>
      </c>
      <c r="F96" s="16" t="s">
        <v>186</v>
      </c>
      <c r="G96" s="16" t="s">
        <v>35</v>
      </c>
      <c r="H96" s="16" t="s">
        <v>36</v>
      </c>
      <c r="I96" s="16" t="s">
        <v>266</v>
      </c>
      <c r="J96" s="16" t="s">
        <v>267</v>
      </c>
      <c r="K96" s="16" t="s">
        <v>93</v>
      </c>
      <c r="L96" s="16" t="s">
        <v>196</v>
      </c>
      <c r="M96" s="16" t="s">
        <v>429</v>
      </c>
      <c r="N96" s="16" t="s">
        <v>42</v>
      </c>
      <c r="O96" s="16">
        <v>7</v>
      </c>
      <c r="P96" s="18">
        <v>3781.53</v>
      </c>
      <c r="Q96" s="19">
        <v>0</v>
      </c>
      <c r="R96" s="19">
        <v>0</v>
      </c>
      <c r="S96" s="18">
        <v>26470.71</v>
      </c>
      <c r="T96" s="18">
        <v>21367.6</v>
      </c>
      <c r="U96" s="18">
        <v>5103.11</v>
      </c>
      <c r="V96" s="16" t="s">
        <v>131</v>
      </c>
      <c r="W96" s="16" t="s">
        <v>85</v>
      </c>
      <c r="X96" s="18">
        <f>IF(OR(O96="",P96="",R96=""),"",O96*P96*(1-R96))</f>
        <v>26470.71</v>
      </c>
      <c r="Y96" s="18">
        <f>IF(OR(X96="",T96=""),"",X96-T96)</f>
        <v>5103.11</v>
      </c>
      <c r="Z96" s="19">
        <f>IFERROR(Y96/X96,"")</f>
        <v>0.1928</v>
      </c>
      <c r="AA96" s="16">
        <f>IF(OR(C96="",D96=""),"",D96-C96)</f>
        <v>3</v>
      </c>
      <c r="AB96" s="16">
        <f>IF(C96="","",MONTH(C96))</f>
        <v>9</v>
      </c>
      <c r="AC96" s="16">
        <f>IF(C96="","",YEAR(C96))</f>
        <v>2024</v>
      </c>
      <c r="AD96" s="16" t="s">
        <v>86</v>
      </c>
      <c r="AE96" s="16" t="s">
        <v>66</v>
      </c>
      <c r="AF96" s="16" t="s">
        <v>255</v>
      </c>
    </row>
    <row r="97" spans="1:32" x14ac:dyDescent="0.25">
      <c r="A97" s="1">
        <v>97</v>
      </c>
      <c r="B97" s="1" t="s">
        <v>430</v>
      </c>
      <c r="C97" s="2">
        <v>45904.77083333333</v>
      </c>
      <c r="D97" s="2">
        <v>45909.77083333333</v>
      </c>
      <c r="E97" s="1" t="s">
        <v>431</v>
      </c>
      <c r="F97" s="1" t="s">
        <v>153</v>
      </c>
      <c r="G97" s="1" t="s">
        <v>109</v>
      </c>
      <c r="H97" s="1" t="s">
        <v>80</v>
      </c>
      <c r="I97" s="1" t="s">
        <v>216</v>
      </c>
      <c r="J97" s="1" t="s">
        <v>217</v>
      </c>
      <c r="K97" s="1" t="s">
        <v>55</v>
      </c>
      <c r="L97" s="1" t="s">
        <v>182</v>
      </c>
      <c r="M97" s="1" t="s">
        <v>432</v>
      </c>
      <c r="N97" s="1" t="s">
        <v>58</v>
      </c>
      <c r="O97" s="1">
        <v>6</v>
      </c>
      <c r="P97" s="3">
        <v>1754.13</v>
      </c>
      <c r="Q97" s="4">
        <v>0</v>
      </c>
      <c r="R97" s="4">
        <v>0</v>
      </c>
      <c r="S97" s="3">
        <v>10524.78</v>
      </c>
      <c r="T97" s="3">
        <v>8841.05</v>
      </c>
      <c r="U97" s="3">
        <v>1683.73</v>
      </c>
      <c r="V97" s="1" t="s">
        <v>43</v>
      </c>
      <c r="W97" s="1" t="s">
        <v>44</v>
      </c>
      <c r="X97" s="3">
        <f>IF(OR(O97="",P97="",R97=""),"",O97*P97*(1-R97))</f>
        <v>10524.78</v>
      </c>
      <c r="Y97" s="3">
        <f>IF(OR(X97="",T97=""),"",X97-T97)</f>
        <v>1683.73</v>
      </c>
      <c r="Z97" s="4">
        <f>IFERROR(Y97/X97,"")</f>
        <v>0.16</v>
      </c>
      <c r="AA97" s="1">
        <f>IF(OR(C97="",D97=""),"",D97-C97)</f>
        <v>5</v>
      </c>
      <c r="AB97" s="1">
        <f>IF(C97="","",MONTH(C97))</f>
        <v>9</v>
      </c>
      <c r="AC97" s="1">
        <f>IF(C97="","",YEAR(C97))</f>
        <v>2025</v>
      </c>
      <c r="AD97" s="1" t="s">
        <v>45</v>
      </c>
      <c r="AE97" s="1" t="s">
        <v>46</v>
      </c>
      <c r="AF97" s="1" t="s">
        <v>47</v>
      </c>
    </row>
    <row r="98" spans="1:32" x14ac:dyDescent="0.25">
      <c r="A98" s="1">
        <v>98</v>
      </c>
      <c r="B98" s="1" t="s">
        <v>433</v>
      </c>
      <c r="C98" s="2">
        <v>45447.77083333333</v>
      </c>
      <c r="D98" s="2">
        <v>45449.77083333333</v>
      </c>
      <c r="E98" s="1" t="s">
        <v>434</v>
      </c>
      <c r="F98" s="1" t="s">
        <v>139</v>
      </c>
      <c r="G98" s="1" t="s">
        <v>114</v>
      </c>
      <c r="H98" s="1" t="s">
        <v>52</v>
      </c>
      <c r="I98" s="1" t="s">
        <v>53</v>
      </c>
      <c r="J98" s="1" t="s">
        <v>54</v>
      </c>
      <c r="K98" s="1" t="s">
        <v>93</v>
      </c>
      <c r="L98" s="1" t="s">
        <v>99</v>
      </c>
      <c r="M98" s="1" t="s">
        <v>435</v>
      </c>
      <c r="N98" s="1" t="s">
        <v>42</v>
      </c>
      <c r="O98" s="1">
        <v>2</v>
      </c>
      <c r="P98" s="3">
        <v>2259.24</v>
      </c>
      <c r="Q98" s="4">
        <v>0.15</v>
      </c>
      <c r="R98" s="4">
        <v>0.15</v>
      </c>
      <c r="S98" s="3">
        <v>3840.71</v>
      </c>
      <c r="T98" s="3">
        <v>2516.29</v>
      </c>
      <c r="U98" s="3">
        <v>1324.42</v>
      </c>
      <c r="V98" s="1" t="s">
        <v>43</v>
      </c>
      <c r="W98" s="1" t="s">
        <v>44</v>
      </c>
      <c r="X98" s="3">
        <f>IF(OR(O98="",P98="",R98=""),"",O98*P98*(1-R98))</f>
        <v>3840.71</v>
      </c>
      <c r="Y98" s="3">
        <f>IF(OR(X98="",T98=""),"",X98-T98)</f>
        <v>1324.42</v>
      </c>
      <c r="Z98" s="4">
        <f>IFERROR(Y98/X98,"")</f>
        <v>0.3448</v>
      </c>
      <c r="AA98" s="1">
        <f>IF(OR(C98="",D98=""),"",D98-C98)</f>
        <v>2</v>
      </c>
      <c r="AB98" s="1">
        <f>IF(C98="","",MONTH(C98))</f>
        <v>6</v>
      </c>
      <c r="AC98" s="1">
        <f>IF(C98="","",YEAR(C98))</f>
        <v>2024</v>
      </c>
      <c r="AD98" s="1" t="s">
        <v>45</v>
      </c>
      <c r="AE98" s="1" t="s">
        <v>46</v>
      </c>
      <c r="AF98" s="1" t="s">
        <v>47</v>
      </c>
    </row>
    <row r="99" spans="1:32" s="15" customFormat="1" x14ac:dyDescent="0.25">
      <c r="A99" s="16">
        <v>99</v>
      </c>
      <c r="B99" s="16" t="s">
        <v>436</v>
      </c>
      <c r="C99" s="17">
        <v>45876.77083333333</v>
      </c>
      <c r="D99" s="17">
        <v>45879.77083333333</v>
      </c>
      <c r="E99" s="16" t="s">
        <v>437</v>
      </c>
      <c r="F99" s="16" t="s">
        <v>186</v>
      </c>
      <c r="G99" s="16" t="s">
        <v>51</v>
      </c>
      <c r="H99" s="16" t="s">
        <v>80</v>
      </c>
      <c r="I99" s="16" t="s">
        <v>206</v>
      </c>
      <c r="J99" s="16" t="s">
        <v>207</v>
      </c>
      <c r="K99" s="16" t="s">
        <v>39</v>
      </c>
      <c r="L99" s="16" t="s">
        <v>145</v>
      </c>
      <c r="M99" s="16" t="s">
        <v>438</v>
      </c>
      <c r="N99" s="16" t="s">
        <v>58</v>
      </c>
      <c r="O99" s="16">
        <v>5</v>
      </c>
      <c r="P99" s="18">
        <v>3602.36</v>
      </c>
      <c r="Q99" s="19">
        <v>0.2</v>
      </c>
      <c r="R99" s="19">
        <v>0.2</v>
      </c>
      <c r="S99" s="18">
        <v>14409.44</v>
      </c>
      <c r="T99" s="18">
        <v>8809.97</v>
      </c>
      <c r="U99" s="18">
        <v>5599.47</v>
      </c>
      <c r="V99" s="16" t="s">
        <v>131</v>
      </c>
      <c r="W99" s="16" t="s">
        <v>122</v>
      </c>
      <c r="X99" s="18">
        <f>IF(OR(O99="",P99="",R99=""),"",O99*P99*(1-R99))</f>
        <v>14409.44</v>
      </c>
      <c r="Y99" s="18">
        <f>IF(OR(X99="",T99=""),"",X99-T99)</f>
        <v>5599.47</v>
      </c>
      <c r="Z99" s="19">
        <f>IFERROR(Y99/X99,"")</f>
        <v>0.3886</v>
      </c>
      <c r="AA99" s="16">
        <f>IF(OR(C99="",D99=""),"",D99-C99)</f>
        <v>3</v>
      </c>
      <c r="AB99" s="16">
        <f>IF(C99="","",MONTH(C99))</f>
        <v>8</v>
      </c>
      <c r="AC99" s="16">
        <f>IF(C99="","",YEAR(C99))</f>
        <v>2025</v>
      </c>
      <c r="AD99" s="16" t="s">
        <v>86</v>
      </c>
      <c r="AE99" s="16" t="s">
        <v>66</v>
      </c>
      <c r="AF99" s="16" t="s">
        <v>132</v>
      </c>
    </row>
    <row r="100" spans="1:32" s="15" customFormat="1" x14ac:dyDescent="0.25">
      <c r="A100" s="16">
        <v>100</v>
      </c>
      <c r="B100" s="16" t="s">
        <v>439</v>
      </c>
      <c r="C100" s="17">
        <v>45316.77083333333</v>
      </c>
      <c r="D100" s="17">
        <v>45322.77083333333</v>
      </c>
      <c r="E100" s="16" t="s">
        <v>440</v>
      </c>
      <c r="F100" s="16" t="s">
        <v>163</v>
      </c>
      <c r="G100" s="16" t="s">
        <v>114</v>
      </c>
      <c r="H100" s="16" t="s">
        <v>71</v>
      </c>
      <c r="I100" s="16" t="s">
        <v>211</v>
      </c>
      <c r="J100" s="16" t="s">
        <v>212</v>
      </c>
      <c r="K100" s="16" t="s">
        <v>93</v>
      </c>
      <c r="L100" s="16" t="s">
        <v>99</v>
      </c>
      <c r="M100" s="16" t="s">
        <v>441</v>
      </c>
      <c r="N100" s="16" t="s">
        <v>232</v>
      </c>
      <c r="O100" s="16">
        <v>8</v>
      </c>
      <c r="P100" s="18">
        <v>2108.93</v>
      </c>
      <c r="Q100" s="19">
        <v>0.1</v>
      </c>
      <c r="R100" s="19">
        <v>0.1</v>
      </c>
      <c r="S100" s="18">
        <v>15184.3</v>
      </c>
      <c r="T100" s="18">
        <v>11270.74</v>
      </c>
      <c r="U100" s="18">
        <v>3913.56</v>
      </c>
      <c r="V100" s="16" t="s">
        <v>43</v>
      </c>
      <c r="W100" s="16" t="s">
        <v>44</v>
      </c>
      <c r="X100" s="18">
        <f>IF(OR(O100="",P100="",R100=""),"",O100*P100*(1-R100))</f>
        <v>15184.3</v>
      </c>
      <c r="Y100" s="18">
        <f>IF(OR(X100="",T100=""),"",X100-T100)</f>
        <v>3913.56</v>
      </c>
      <c r="Z100" s="19">
        <f>IFERROR(Y100/X100,"")</f>
        <v>0.2577</v>
      </c>
      <c r="AA100" s="16">
        <f>IF(OR(C100="",D100=""),"",D100-C100)</f>
        <v>6</v>
      </c>
      <c r="AB100" s="16">
        <f>IF(C100="","",MONTH(C100))</f>
        <v>1</v>
      </c>
      <c r="AC100" s="16">
        <f>IF(C100="","",YEAR(C100))</f>
        <v>2024</v>
      </c>
      <c r="AD100" s="16" t="s">
        <v>86</v>
      </c>
      <c r="AE100" s="16" t="s">
        <v>46</v>
      </c>
      <c r="AF100" s="16" t="s">
        <v>442</v>
      </c>
    </row>
    <row r="101" spans="1:32" x14ac:dyDescent="0.25">
      <c r="A101" s="1">
        <v>101</v>
      </c>
      <c r="B101" s="1" t="s">
        <v>443</v>
      </c>
      <c r="C101" s="2">
        <v>45667.77083333333</v>
      </c>
      <c r="D101" s="2">
        <v>45667.77083333333</v>
      </c>
      <c r="E101" s="1" t="s">
        <v>444</v>
      </c>
      <c r="F101" s="1" t="s">
        <v>108</v>
      </c>
      <c r="G101" s="1" t="s">
        <v>51</v>
      </c>
      <c r="H101" s="1" t="s">
        <v>80</v>
      </c>
      <c r="I101" s="1" t="s">
        <v>37</v>
      </c>
      <c r="J101" s="1" t="s">
        <v>129</v>
      </c>
      <c r="K101" s="1" t="s">
        <v>93</v>
      </c>
      <c r="L101" s="1" t="s">
        <v>94</v>
      </c>
      <c r="M101" s="1" t="s">
        <v>445</v>
      </c>
      <c r="N101" s="1" t="s">
        <v>58</v>
      </c>
      <c r="O101" s="1">
        <v>3</v>
      </c>
      <c r="P101" s="3">
        <v>2165.29</v>
      </c>
      <c r="Q101" s="4">
        <v>0</v>
      </c>
      <c r="R101" s="4">
        <v>0</v>
      </c>
      <c r="S101" s="3">
        <v>6495.87</v>
      </c>
      <c r="T101" s="3">
        <v>4700.89</v>
      </c>
      <c r="U101" s="3">
        <v>1794.98</v>
      </c>
      <c r="V101" s="1" t="s">
        <v>43</v>
      </c>
      <c r="W101" s="1" t="s">
        <v>44</v>
      </c>
      <c r="X101" s="3">
        <f>IF(OR(O101="",P101="",R101=""),"",O101*P101*(1-R101))</f>
        <v>6495.87</v>
      </c>
      <c r="Y101" s="3">
        <f>IF(OR(X101="",T101=""),"",X101-T101)</f>
        <v>1794.98</v>
      </c>
      <c r="Z101" s="4">
        <f>IFERROR(Y101/X101,"")</f>
        <v>0.2763</v>
      </c>
      <c r="AA101" s="1">
        <f>IF(OR(C101="",D101=""),"",D101-C101)</f>
        <v>0</v>
      </c>
      <c r="AB101" s="1">
        <f>IF(C101="","",MONTH(C101))</f>
        <v>1</v>
      </c>
      <c r="AC101" s="1">
        <f>IF(C101="","",YEAR(C101))</f>
        <v>2025</v>
      </c>
      <c r="AD101" s="1" t="s">
        <v>45</v>
      </c>
      <c r="AE101" s="1" t="s">
        <v>46</v>
      </c>
      <c r="AF101" s="1" t="s">
        <v>47</v>
      </c>
    </row>
    <row r="102" spans="1:32" x14ac:dyDescent="0.25">
      <c r="A102" s="1">
        <v>102</v>
      </c>
      <c r="B102" s="1" t="s">
        <v>446</v>
      </c>
      <c r="C102" s="2">
        <v>45911.77083333333</v>
      </c>
      <c r="D102" s="2">
        <v>45917.77083333333</v>
      </c>
      <c r="E102" s="1" t="s">
        <v>447</v>
      </c>
      <c r="F102" s="1" t="s">
        <v>149</v>
      </c>
      <c r="G102" s="1" t="s">
        <v>114</v>
      </c>
      <c r="H102" s="1" t="s">
        <v>71</v>
      </c>
      <c r="I102" s="1" t="s">
        <v>211</v>
      </c>
      <c r="J102" s="1" t="s">
        <v>212</v>
      </c>
      <c r="K102" s="1" t="s">
        <v>39</v>
      </c>
      <c r="L102" s="1" t="s">
        <v>145</v>
      </c>
      <c r="M102" s="1" t="s">
        <v>448</v>
      </c>
      <c r="N102" s="1" t="s">
        <v>76</v>
      </c>
      <c r="O102" s="1">
        <v>6</v>
      </c>
      <c r="P102" s="3">
        <v>1673.8</v>
      </c>
      <c r="Q102" s="4">
        <v>0.05</v>
      </c>
      <c r="R102" s="4">
        <v>0.05</v>
      </c>
      <c r="S102" s="3">
        <v>9540.66</v>
      </c>
      <c r="T102" s="3">
        <v>5561.49</v>
      </c>
      <c r="U102" s="3">
        <v>3979.17</v>
      </c>
      <c r="V102" s="1" t="s">
        <v>43</v>
      </c>
      <c r="W102" s="1" t="s">
        <v>44</v>
      </c>
      <c r="X102" s="3">
        <f>IF(OR(O102="",P102="",R102=""),"",O102*P102*(1-R102))</f>
        <v>9540.66</v>
      </c>
      <c r="Y102" s="3">
        <f>IF(OR(X102="",T102=""),"",X102-T102)</f>
        <v>3979.17</v>
      </c>
      <c r="Z102" s="4">
        <f>IFERROR(Y102/X102,"")</f>
        <v>0.4171</v>
      </c>
      <c r="AA102" s="1">
        <f>IF(OR(C102="",D102=""),"",D102-C102)</f>
        <v>6</v>
      </c>
      <c r="AB102" s="1">
        <f>IF(C102="","",MONTH(C102))</f>
        <v>9</v>
      </c>
      <c r="AC102" s="1">
        <f>IF(C102="","",YEAR(C102))</f>
        <v>2025</v>
      </c>
      <c r="AD102" s="1" t="s">
        <v>45</v>
      </c>
      <c r="AE102" s="1" t="s">
        <v>46</v>
      </c>
      <c r="AF102" s="1" t="s">
        <v>47</v>
      </c>
    </row>
    <row r="103" spans="1:32" x14ac:dyDescent="0.25">
      <c r="A103" s="1">
        <v>103</v>
      </c>
      <c r="B103" s="1" t="s">
        <v>449</v>
      </c>
      <c r="C103" s="2">
        <v>45464.77083333333</v>
      </c>
      <c r="D103" s="2">
        <v>45468.77083333333</v>
      </c>
      <c r="E103" s="1" t="s">
        <v>450</v>
      </c>
      <c r="F103" s="1" t="s">
        <v>163</v>
      </c>
      <c r="G103" s="1" t="s">
        <v>114</v>
      </c>
      <c r="H103" s="1" t="s">
        <v>52</v>
      </c>
      <c r="I103" s="1" t="s">
        <v>168</v>
      </c>
      <c r="J103" s="1" t="s">
        <v>169</v>
      </c>
      <c r="K103" s="1" t="s">
        <v>55</v>
      </c>
      <c r="L103" s="1" t="s">
        <v>74</v>
      </c>
      <c r="M103" s="1" t="s">
        <v>451</v>
      </c>
      <c r="N103" s="1" t="s">
        <v>64</v>
      </c>
      <c r="O103" s="1">
        <v>5</v>
      </c>
      <c r="P103" s="3">
        <v>4396.52</v>
      </c>
      <c r="Q103" s="4">
        <v>0.25</v>
      </c>
      <c r="R103" s="4">
        <v>0.25</v>
      </c>
      <c r="S103" s="3">
        <v>16486.95</v>
      </c>
      <c r="T103" s="3">
        <v>12054.14</v>
      </c>
      <c r="U103" s="3">
        <v>4432.81</v>
      </c>
      <c r="V103" s="1" t="s">
        <v>43</v>
      </c>
      <c r="W103" s="1" t="s">
        <v>44</v>
      </c>
      <c r="X103" s="3">
        <f>IF(OR(O103="",P103="",R103=""),"",O103*P103*(1-R103))</f>
        <v>16486.95</v>
      </c>
      <c r="Y103" s="3">
        <f>IF(OR(X103="",T103=""),"",X103-T103)</f>
        <v>4432.81</v>
      </c>
      <c r="Z103" s="4">
        <f>IFERROR(Y103/X103,"")</f>
        <v>0.2689</v>
      </c>
      <c r="AA103" s="1">
        <f>IF(OR(C103="",D103=""),"",D103-C103)</f>
        <v>4</v>
      </c>
      <c r="AB103" s="1">
        <f>IF(C103="","",MONTH(C103))</f>
        <v>6</v>
      </c>
      <c r="AC103" s="1">
        <f>IF(C103="","",YEAR(C103))</f>
        <v>2024</v>
      </c>
      <c r="AD103" s="1" t="s">
        <v>45</v>
      </c>
      <c r="AE103" s="1" t="s">
        <v>46</v>
      </c>
      <c r="AF103" s="1" t="s">
        <v>47</v>
      </c>
    </row>
    <row r="104" spans="1:32" s="15" customFormat="1" x14ac:dyDescent="0.25">
      <c r="A104" s="16">
        <v>104</v>
      </c>
      <c r="B104" s="16" t="s">
        <v>452</v>
      </c>
      <c r="C104" s="17">
        <v>45849.77083333333</v>
      </c>
      <c r="D104" s="17">
        <v>45853.77083333333</v>
      </c>
      <c r="E104" s="16" t="s">
        <v>453</v>
      </c>
      <c r="F104" s="16" t="s">
        <v>90</v>
      </c>
      <c r="G104" s="16" t="s">
        <v>35</v>
      </c>
      <c r="H104" s="16" t="s">
        <v>71</v>
      </c>
      <c r="I104" s="16" t="s">
        <v>201</v>
      </c>
      <c r="J104" s="16" t="s">
        <v>202</v>
      </c>
      <c r="K104" s="16" t="s">
        <v>55</v>
      </c>
      <c r="L104" s="16" t="s">
        <v>83</v>
      </c>
      <c r="M104" s="16" t="s">
        <v>454</v>
      </c>
      <c r="N104" s="16" t="s">
        <v>64</v>
      </c>
      <c r="O104" s="16">
        <v>4</v>
      </c>
      <c r="P104" s="18">
        <v>2865.71</v>
      </c>
      <c r="Q104" s="19">
        <v>0</v>
      </c>
      <c r="R104" s="19">
        <v>0</v>
      </c>
      <c r="S104" s="18">
        <v>11462.84</v>
      </c>
      <c r="T104" s="18">
        <v>8979.78</v>
      </c>
      <c r="U104" s="18">
        <v>2483.06</v>
      </c>
      <c r="V104" s="16" t="s">
        <v>121</v>
      </c>
      <c r="W104" s="16" t="s">
        <v>85</v>
      </c>
      <c r="X104" s="18">
        <f>IF(OR(O104="",P104="",R104=""),"",O104*P104*(1-R104))</f>
        <v>11462.84</v>
      </c>
      <c r="Y104" s="18">
        <f>IF(OR(X104="",T104=""),"",X104-T104)</f>
        <v>2483.06</v>
      </c>
      <c r="Z104" s="19">
        <f>IFERROR(Y104/X104,"")</f>
        <v>0.2166</v>
      </c>
      <c r="AA104" s="16">
        <f>IF(OR(C104="",D104=""),"",D104-C104)</f>
        <v>4</v>
      </c>
      <c r="AB104" s="16">
        <f>IF(C104="","",MONTH(C104))</f>
        <v>7</v>
      </c>
      <c r="AC104" s="16">
        <f>IF(C104="","",YEAR(C104))</f>
        <v>2025</v>
      </c>
      <c r="AD104" s="16" t="s">
        <v>86</v>
      </c>
      <c r="AE104" s="16" t="s">
        <v>66</v>
      </c>
      <c r="AF104" s="16" t="s">
        <v>160</v>
      </c>
    </row>
    <row r="105" spans="1:32" x14ac:dyDescent="0.25">
      <c r="A105" s="1">
        <v>105</v>
      </c>
      <c r="B105" s="1" t="s">
        <v>455</v>
      </c>
      <c r="C105" s="2">
        <v>45778.77083333333</v>
      </c>
      <c r="D105" s="2">
        <v>45786.77083333333</v>
      </c>
      <c r="E105" s="1" t="s">
        <v>456</v>
      </c>
      <c r="F105" s="1" t="s">
        <v>294</v>
      </c>
      <c r="G105" s="1" t="s">
        <v>109</v>
      </c>
      <c r="H105" s="1" t="s">
        <v>80</v>
      </c>
      <c r="I105" s="1" t="s">
        <v>81</v>
      </c>
      <c r="J105" s="1" t="s">
        <v>82</v>
      </c>
      <c r="K105" s="1" t="s">
        <v>55</v>
      </c>
      <c r="L105" s="1" t="s">
        <v>56</v>
      </c>
      <c r="M105" s="1" t="s">
        <v>457</v>
      </c>
      <c r="N105" s="1" t="s">
        <v>64</v>
      </c>
      <c r="O105" s="1">
        <v>4</v>
      </c>
      <c r="P105" s="3">
        <v>2440.34</v>
      </c>
      <c r="Q105" s="4">
        <v>0.2</v>
      </c>
      <c r="R105" s="4">
        <v>0.2</v>
      </c>
      <c r="S105" s="3">
        <v>7809.09</v>
      </c>
      <c r="T105" s="3">
        <v>6657.75</v>
      </c>
      <c r="U105" s="3">
        <v>1151.34</v>
      </c>
      <c r="V105" s="1" t="s">
        <v>43</v>
      </c>
      <c r="W105" s="1" t="s">
        <v>44</v>
      </c>
      <c r="X105" s="3">
        <f>IF(OR(O105="",P105="",R105=""),"",O105*P105*(1-R105))</f>
        <v>7809.09</v>
      </c>
      <c r="Y105" s="3">
        <f>IF(OR(X105="",T105=""),"",X105-T105)</f>
        <v>1151.34</v>
      </c>
      <c r="Z105" s="4">
        <f>IFERROR(Y105/X105,"")</f>
        <v>0.1474</v>
      </c>
      <c r="AA105" s="1">
        <f>IF(OR(C105="",D105=""),"",D105-C105)</f>
        <v>8</v>
      </c>
      <c r="AB105" s="1">
        <f>IF(C105="","",MONTH(C105))</f>
        <v>5</v>
      </c>
      <c r="AC105" s="1">
        <f>IF(C105="","",YEAR(C105))</f>
        <v>2025</v>
      </c>
      <c r="AD105" s="1" t="s">
        <v>45</v>
      </c>
      <c r="AE105" s="1" t="s">
        <v>46</v>
      </c>
      <c r="AF105" s="1" t="s">
        <v>47</v>
      </c>
    </row>
    <row r="106" spans="1:32" s="10" customFormat="1" x14ac:dyDescent="0.25">
      <c r="A106" s="11">
        <v>106</v>
      </c>
      <c r="B106" s="11" t="s">
        <v>458</v>
      </c>
      <c r="C106" s="12">
        <v>45688.77083333333</v>
      </c>
      <c r="D106" s="12">
        <v>45695.77083333333</v>
      </c>
      <c r="E106" s="11" t="s">
        <v>459</v>
      </c>
      <c r="F106" s="11" t="s">
        <v>79</v>
      </c>
      <c r="G106" s="11" t="s">
        <v>35</v>
      </c>
      <c r="H106" s="11" t="s">
        <v>71</v>
      </c>
      <c r="I106" s="11" t="s">
        <v>201</v>
      </c>
      <c r="J106" s="11" t="s">
        <v>202</v>
      </c>
      <c r="K106" s="11" t="s">
        <v>39</v>
      </c>
      <c r="L106" s="11" t="s">
        <v>110</v>
      </c>
      <c r="M106" s="11" t="s">
        <v>460</v>
      </c>
      <c r="N106" s="11" t="s">
        <v>58</v>
      </c>
      <c r="O106" s="11">
        <v>5</v>
      </c>
      <c r="P106" s="13">
        <v>2112.54</v>
      </c>
      <c r="Q106" s="14">
        <v>0.25</v>
      </c>
      <c r="R106" s="14">
        <v>0.25</v>
      </c>
      <c r="S106" s="13">
        <v>8260.46</v>
      </c>
      <c r="T106" s="13">
        <v>5619.95</v>
      </c>
      <c r="U106" s="13">
        <v>2302.08</v>
      </c>
      <c r="V106" s="11" t="s">
        <v>43</v>
      </c>
      <c r="W106" s="11" t="s">
        <v>85</v>
      </c>
      <c r="X106" s="13">
        <f>IF(OR(O106="",P106="",R106=""),"",O106*P106*(1-R106))</f>
        <v>7922.03</v>
      </c>
      <c r="Y106" s="13">
        <f>IF(OR(X106="",T106=""),"",X106-T106)</f>
        <v>2302.08</v>
      </c>
      <c r="Z106" s="14">
        <f>IFERROR(Y106/X106,"")</f>
        <v>0.2906</v>
      </c>
      <c r="AA106" s="11">
        <f>IF(OR(C106="",D106=""),"",D106-C106)</f>
        <v>7</v>
      </c>
      <c r="AB106" s="11">
        <f>IF(C106="","",MONTH(C106))</f>
        <v>2</v>
      </c>
      <c r="AC106" s="11">
        <f>IF(C106="","",YEAR(C106))</f>
        <v>2025</v>
      </c>
      <c r="AD106" s="11" t="s">
        <v>65</v>
      </c>
      <c r="AE106" s="11" t="s">
        <v>66</v>
      </c>
      <c r="AF106" s="11" t="s">
        <v>461</v>
      </c>
    </row>
    <row r="107" spans="1:32" x14ac:dyDescent="0.25">
      <c r="A107" s="1">
        <v>107</v>
      </c>
      <c r="B107" s="1" t="s">
        <v>462</v>
      </c>
      <c r="C107" s="2">
        <v>45466.77083333333</v>
      </c>
      <c r="D107" s="2">
        <v>45471.77083333333</v>
      </c>
      <c r="E107" s="1" t="s">
        <v>463</v>
      </c>
      <c r="F107" s="1" t="s">
        <v>50</v>
      </c>
      <c r="G107" s="1" t="s">
        <v>114</v>
      </c>
      <c r="H107" s="1" t="s">
        <v>52</v>
      </c>
      <c r="I107" s="1" t="s">
        <v>118</v>
      </c>
      <c r="J107" s="1" t="s">
        <v>119</v>
      </c>
      <c r="K107" s="1" t="s">
        <v>55</v>
      </c>
      <c r="L107" s="1" t="s">
        <v>56</v>
      </c>
      <c r="M107" s="1" t="s">
        <v>464</v>
      </c>
      <c r="N107" s="1" t="s">
        <v>42</v>
      </c>
      <c r="O107" s="1">
        <v>2</v>
      </c>
      <c r="P107" s="3">
        <v>685</v>
      </c>
      <c r="Q107" s="4">
        <v>0.1</v>
      </c>
      <c r="R107" s="4">
        <v>0.1</v>
      </c>
      <c r="S107" s="3">
        <v>1233</v>
      </c>
      <c r="T107" s="3">
        <v>1006.9</v>
      </c>
      <c r="U107" s="3">
        <v>226.1</v>
      </c>
      <c r="V107" s="1" t="s">
        <v>43</v>
      </c>
      <c r="W107" s="1" t="s">
        <v>44</v>
      </c>
      <c r="X107" s="3">
        <f>IF(OR(O107="",P107="",R107=""),"",O107*P107*(1-R107))</f>
        <v>1233</v>
      </c>
      <c r="Y107" s="3">
        <f>IF(OR(X107="",T107=""),"",X107-T107)</f>
        <v>226.1</v>
      </c>
      <c r="Z107" s="4">
        <f>IFERROR(Y107/X107,"")</f>
        <v>0.1834</v>
      </c>
      <c r="AA107" s="1">
        <f>IF(OR(C107="",D107=""),"",D107-C107)</f>
        <v>5</v>
      </c>
      <c r="AB107" s="1">
        <f>IF(C107="","",MONTH(C107))</f>
        <v>6</v>
      </c>
      <c r="AC107" s="1">
        <f>IF(C107="","",YEAR(C107))</f>
        <v>2024</v>
      </c>
      <c r="AD107" s="1" t="s">
        <v>45</v>
      </c>
      <c r="AE107" s="1" t="s">
        <v>46</v>
      </c>
      <c r="AF107" s="1" t="s">
        <v>47</v>
      </c>
    </row>
    <row r="108" spans="1:32" s="10" customFormat="1" x14ac:dyDescent="0.25">
      <c r="A108" s="11">
        <v>108</v>
      </c>
      <c r="B108" s="11" t="s">
        <v>465</v>
      </c>
      <c r="C108" s="12">
        <v>45341.77083333333</v>
      </c>
      <c r="D108" s="12">
        <v>45349.77083333333</v>
      </c>
      <c r="E108" s="11" t="s">
        <v>466</v>
      </c>
      <c r="F108" s="11" t="s">
        <v>70</v>
      </c>
      <c r="G108" s="11" t="s">
        <v>114</v>
      </c>
      <c r="H108" s="11" t="s">
        <v>52</v>
      </c>
      <c r="I108" s="11" t="s">
        <v>118</v>
      </c>
      <c r="J108" s="11" t="s">
        <v>119</v>
      </c>
      <c r="K108" s="11" t="s">
        <v>39</v>
      </c>
      <c r="L108" s="11" t="s">
        <v>40</v>
      </c>
      <c r="M108" s="11" t="s">
        <v>467</v>
      </c>
      <c r="N108" s="11" t="s">
        <v>76</v>
      </c>
      <c r="O108" s="11">
        <v>2</v>
      </c>
      <c r="P108" s="13">
        <v>4004.04</v>
      </c>
      <c r="Q108" s="14"/>
      <c r="R108" s="14">
        <v>0</v>
      </c>
      <c r="S108" s="13">
        <v>7207.27</v>
      </c>
      <c r="T108" s="13">
        <v>5709.39</v>
      </c>
      <c r="U108" s="13">
        <v>1497.88</v>
      </c>
      <c r="V108" s="11" t="s">
        <v>43</v>
      </c>
      <c r="W108" s="11" t="s">
        <v>85</v>
      </c>
      <c r="X108" s="13">
        <f>IF(OR(O108="",P108="",R108=""),"",O108*P108*(1-R108))</f>
        <v>8008.08</v>
      </c>
      <c r="Y108" s="13">
        <f>IF(OR(X108="",T108=""),"",X108-T108)</f>
        <v>2298.69</v>
      </c>
      <c r="Z108" s="14">
        <f>IFERROR(Y108/X108,"")</f>
        <v>0.287</v>
      </c>
      <c r="AA108" s="11">
        <f>IF(OR(C108="",D108=""),"",D108-C108)</f>
        <v>8</v>
      </c>
      <c r="AB108" s="11">
        <f>IF(C108="","",MONTH(C108))</f>
        <v>2</v>
      </c>
      <c r="AC108" s="11">
        <f>IF(C108="","",YEAR(C108))</f>
        <v>2024</v>
      </c>
      <c r="AD108" s="11" t="s">
        <v>65</v>
      </c>
      <c r="AE108" s="11" t="s">
        <v>66</v>
      </c>
      <c r="AF108" s="11" t="s">
        <v>468</v>
      </c>
    </row>
    <row r="109" spans="1:32" x14ac:dyDescent="0.25">
      <c r="A109" s="1">
        <v>109</v>
      </c>
      <c r="B109" s="1" t="s">
        <v>469</v>
      </c>
      <c r="C109" s="2">
        <v>45593.77083333333</v>
      </c>
      <c r="D109" s="2">
        <v>45599.77083333333</v>
      </c>
      <c r="E109" s="1" t="s">
        <v>470</v>
      </c>
      <c r="F109" s="1" t="s">
        <v>163</v>
      </c>
      <c r="G109" s="1" t="s">
        <v>114</v>
      </c>
      <c r="H109" s="1" t="s">
        <v>52</v>
      </c>
      <c r="I109" s="1" t="s">
        <v>118</v>
      </c>
      <c r="J109" s="1" t="s">
        <v>119</v>
      </c>
      <c r="K109" s="1" t="s">
        <v>55</v>
      </c>
      <c r="L109" s="1" t="s">
        <v>74</v>
      </c>
      <c r="M109" s="1" t="s">
        <v>471</v>
      </c>
      <c r="N109" s="1" t="s">
        <v>64</v>
      </c>
      <c r="O109" s="1">
        <v>3</v>
      </c>
      <c r="P109" s="3">
        <v>4302.89</v>
      </c>
      <c r="Q109" s="4">
        <v>0.05</v>
      </c>
      <c r="R109" s="4">
        <v>0.05</v>
      </c>
      <c r="S109" s="3">
        <v>12263.24</v>
      </c>
      <c r="T109" s="3">
        <v>8925.57</v>
      </c>
      <c r="U109" s="3">
        <v>3337.67</v>
      </c>
      <c r="V109" s="1" t="s">
        <v>43</v>
      </c>
      <c r="W109" s="1" t="s">
        <v>44</v>
      </c>
      <c r="X109" s="3">
        <f>IF(OR(O109="",P109="",R109=""),"",O109*P109*(1-R109))</f>
        <v>12263.24</v>
      </c>
      <c r="Y109" s="3">
        <f>IF(OR(X109="",T109=""),"",X109-T109)</f>
        <v>3337.67</v>
      </c>
      <c r="Z109" s="4">
        <f>IFERROR(Y109/X109,"")</f>
        <v>0.2722</v>
      </c>
      <c r="AA109" s="1">
        <f>IF(OR(C109="",D109=""),"",D109-C109)</f>
        <v>6</v>
      </c>
      <c r="AB109" s="1">
        <f>IF(C109="","",MONTH(C109))</f>
        <v>10</v>
      </c>
      <c r="AC109" s="1">
        <f>IF(C109="","",YEAR(C109))</f>
        <v>2024</v>
      </c>
      <c r="AD109" s="1" t="s">
        <v>45</v>
      </c>
      <c r="AE109" s="1" t="s">
        <v>46</v>
      </c>
      <c r="AF109" s="1" t="s">
        <v>47</v>
      </c>
    </row>
    <row r="110" spans="1:32" x14ac:dyDescent="0.25">
      <c r="A110" s="1">
        <v>110</v>
      </c>
      <c r="B110" s="1" t="s">
        <v>472</v>
      </c>
      <c r="C110" s="2">
        <v>45518.77083333333</v>
      </c>
      <c r="D110" s="2">
        <v>45526.77083333333</v>
      </c>
      <c r="E110" s="1" t="s">
        <v>473</v>
      </c>
      <c r="F110" s="1" t="s">
        <v>108</v>
      </c>
      <c r="G110" s="1" t="s">
        <v>51</v>
      </c>
      <c r="H110" s="1" t="s">
        <v>52</v>
      </c>
      <c r="I110" s="1" t="s">
        <v>53</v>
      </c>
      <c r="J110" s="1" t="s">
        <v>54</v>
      </c>
      <c r="K110" s="1" t="s">
        <v>55</v>
      </c>
      <c r="L110" s="1" t="s">
        <v>182</v>
      </c>
      <c r="M110" s="1" t="s">
        <v>474</v>
      </c>
      <c r="N110" s="1" t="s">
        <v>58</v>
      </c>
      <c r="O110" s="1">
        <v>2</v>
      </c>
      <c r="P110" s="3">
        <v>537.54</v>
      </c>
      <c r="Q110" s="4">
        <v>0.25</v>
      </c>
      <c r="R110" s="4">
        <v>0.25</v>
      </c>
      <c r="S110" s="3">
        <v>806.31</v>
      </c>
      <c r="T110" s="3">
        <v>498.5</v>
      </c>
      <c r="U110" s="3">
        <v>307.81</v>
      </c>
      <c r="V110" s="1" t="s">
        <v>43</v>
      </c>
      <c r="W110" s="1" t="s">
        <v>44</v>
      </c>
      <c r="X110" s="3">
        <f>IF(OR(O110="",P110="",R110=""),"",O110*P110*(1-R110))</f>
        <v>806.31</v>
      </c>
      <c r="Y110" s="3">
        <f>IF(OR(X110="",T110=""),"",X110-T110)</f>
        <v>307.81</v>
      </c>
      <c r="Z110" s="4">
        <f>IFERROR(Y110/X110,"")</f>
        <v>0.3818</v>
      </c>
      <c r="AA110" s="1">
        <f>IF(OR(C110="",D110=""),"",D110-C110)</f>
        <v>8</v>
      </c>
      <c r="AB110" s="1">
        <f>IF(C110="","",MONTH(C110))</f>
        <v>8</v>
      </c>
      <c r="AC110" s="1">
        <f>IF(C110="","",YEAR(C110))</f>
        <v>2024</v>
      </c>
      <c r="AD110" s="1" t="s">
        <v>45</v>
      </c>
      <c r="AE110" s="1" t="s">
        <v>46</v>
      </c>
      <c r="AF110" s="1" t="s">
        <v>47</v>
      </c>
    </row>
    <row r="111" spans="1:32" x14ac:dyDescent="0.25">
      <c r="A111" s="1">
        <v>111</v>
      </c>
      <c r="B111" s="1" t="s">
        <v>475</v>
      </c>
      <c r="C111" s="2">
        <v>45891.77083333333</v>
      </c>
      <c r="D111" s="2">
        <v>45895.77083333333</v>
      </c>
      <c r="E111" s="1" t="s">
        <v>476</v>
      </c>
      <c r="F111" s="1" t="s">
        <v>153</v>
      </c>
      <c r="G111" s="1" t="s">
        <v>35</v>
      </c>
      <c r="H111" s="1" t="s">
        <v>36</v>
      </c>
      <c r="I111" s="1" t="s">
        <v>384</v>
      </c>
      <c r="J111" s="1" t="s">
        <v>385</v>
      </c>
      <c r="K111" s="1" t="s">
        <v>39</v>
      </c>
      <c r="L111" s="1" t="s">
        <v>176</v>
      </c>
      <c r="M111" s="1" t="s">
        <v>477</v>
      </c>
      <c r="N111" s="1" t="s">
        <v>42</v>
      </c>
      <c r="O111" s="1">
        <v>1</v>
      </c>
      <c r="P111" s="3">
        <v>2788.62</v>
      </c>
      <c r="Q111" s="4">
        <v>0.25</v>
      </c>
      <c r="R111" s="4">
        <v>0.25</v>
      </c>
      <c r="S111" s="3">
        <v>2091.47</v>
      </c>
      <c r="T111" s="3">
        <v>1317.22</v>
      </c>
      <c r="U111" s="3">
        <v>774.25</v>
      </c>
      <c r="V111" s="1" t="s">
        <v>43</v>
      </c>
      <c r="W111" s="1" t="s">
        <v>44</v>
      </c>
      <c r="X111" s="3">
        <f>IF(OR(O111="",P111="",R111=""),"",O111*P111*(1-R111))</f>
        <v>2091.47</v>
      </c>
      <c r="Y111" s="3">
        <f>IF(OR(X111="",T111=""),"",X111-T111)</f>
        <v>774.25</v>
      </c>
      <c r="Z111" s="4">
        <f>IFERROR(Y111/X111,"")</f>
        <v>0.3702</v>
      </c>
      <c r="AA111" s="1">
        <f>IF(OR(C111="",D111=""),"",D111-C111)</f>
        <v>4</v>
      </c>
      <c r="AB111" s="1">
        <f>IF(C111="","",MONTH(C111))</f>
        <v>8</v>
      </c>
      <c r="AC111" s="1">
        <f>IF(C111="","",YEAR(C111))</f>
        <v>2025</v>
      </c>
      <c r="AD111" s="1" t="s">
        <v>45</v>
      </c>
      <c r="AE111" s="1" t="s">
        <v>46</v>
      </c>
      <c r="AF111" s="1" t="s">
        <v>47</v>
      </c>
    </row>
    <row r="112" spans="1:32" s="15" customFormat="1" x14ac:dyDescent="0.25">
      <c r="A112" s="16">
        <v>112</v>
      </c>
      <c r="B112" s="16" t="s">
        <v>478</v>
      </c>
      <c r="C112" s="17">
        <v>45582.77083333333</v>
      </c>
      <c r="D112" s="17">
        <v>45588.77083333333</v>
      </c>
      <c r="E112" s="16" t="s">
        <v>479</v>
      </c>
      <c r="F112" s="16" t="s">
        <v>90</v>
      </c>
      <c r="G112" s="16" t="s">
        <v>109</v>
      </c>
      <c r="H112" s="16" t="s">
        <v>71</v>
      </c>
      <c r="I112" s="16" t="s">
        <v>211</v>
      </c>
      <c r="J112" s="16" t="s">
        <v>212</v>
      </c>
      <c r="K112" s="16" t="s">
        <v>39</v>
      </c>
      <c r="L112" s="16" t="s">
        <v>110</v>
      </c>
      <c r="M112" s="16" t="s">
        <v>480</v>
      </c>
      <c r="N112" s="16" t="s">
        <v>64</v>
      </c>
      <c r="O112" s="16">
        <v>2</v>
      </c>
      <c r="P112" s="18">
        <v>2250.47</v>
      </c>
      <c r="Q112" s="19">
        <v>0</v>
      </c>
      <c r="R112" s="19">
        <v>0</v>
      </c>
      <c r="S112" s="18">
        <v>4500.94</v>
      </c>
      <c r="T112" s="18">
        <v>2607.73</v>
      </c>
      <c r="U112" s="18">
        <v>1893.21</v>
      </c>
      <c r="V112" s="16" t="s">
        <v>121</v>
      </c>
      <c r="W112" s="16" t="s">
        <v>85</v>
      </c>
      <c r="X112" s="18">
        <f>IF(OR(O112="",P112="",R112=""),"",O112*P112*(1-R112))</f>
        <v>4500.94</v>
      </c>
      <c r="Y112" s="18">
        <f>IF(OR(X112="",T112=""),"",X112-T112)</f>
        <v>1893.21</v>
      </c>
      <c r="Z112" s="19">
        <f>IFERROR(Y112/X112,"")</f>
        <v>0.4206</v>
      </c>
      <c r="AA112" s="16">
        <f>IF(OR(C112="",D112=""),"",D112-C112)</f>
        <v>6</v>
      </c>
      <c r="AB112" s="16">
        <f>IF(C112="","",MONTH(C112))</f>
        <v>10</v>
      </c>
      <c r="AC112" s="16">
        <f>IF(C112="","",YEAR(C112))</f>
        <v>2024</v>
      </c>
      <c r="AD112" s="16" t="s">
        <v>86</v>
      </c>
      <c r="AE112" s="16" t="s">
        <v>66</v>
      </c>
      <c r="AF112" s="16" t="s">
        <v>160</v>
      </c>
    </row>
    <row r="113" spans="1:32" s="15" customFormat="1" x14ac:dyDescent="0.25">
      <c r="A113" s="16">
        <v>113</v>
      </c>
      <c r="B113" s="16" t="s">
        <v>481</v>
      </c>
      <c r="C113" s="17">
        <v>45834.77083333333</v>
      </c>
      <c r="D113" s="17">
        <v>45837.77083333333</v>
      </c>
      <c r="E113" s="16" t="s">
        <v>482</v>
      </c>
      <c r="F113" s="16" t="s">
        <v>98</v>
      </c>
      <c r="G113" s="16" t="s">
        <v>109</v>
      </c>
      <c r="H113" s="16" t="s">
        <v>52</v>
      </c>
      <c r="I113" s="16" t="s">
        <v>168</v>
      </c>
      <c r="J113" s="16" t="s">
        <v>169</v>
      </c>
      <c r="K113" s="16" t="s">
        <v>93</v>
      </c>
      <c r="L113" s="16" t="s">
        <v>94</v>
      </c>
      <c r="M113" s="16" t="s">
        <v>483</v>
      </c>
      <c r="N113" s="16" t="s">
        <v>64</v>
      </c>
      <c r="O113" s="16">
        <v>1</v>
      </c>
      <c r="P113" s="18">
        <v>1708.44</v>
      </c>
      <c r="Q113" s="19">
        <v>0.05</v>
      </c>
      <c r="R113" s="19">
        <v>0.05</v>
      </c>
      <c r="S113" s="18">
        <v>1623.02</v>
      </c>
      <c r="T113" s="18">
        <v>1077.46</v>
      </c>
      <c r="U113" s="18">
        <v>545.56</v>
      </c>
      <c r="V113" s="16" t="s">
        <v>131</v>
      </c>
      <c r="W113" s="16" t="s">
        <v>85</v>
      </c>
      <c r="X113" s="18">
        <f>IF(OR(O113="",P113="",R113=""),"",O113*P113*(1-R113))</f>
        <v>1623.02</v>
      </c>
      <c r="Y113" s="18">
        <f>IF(OR(X113="",T113=""),"",X113-T113)</f>
        <v>545.56</v>
      </c>
      <c r="Z113" s="19">
        <f>IFERROR(Y113/X113,"")</f>
        <v>0.3361</v>
      </c>
      <c r="AA113" s="16">
        <f>IF(OR(C113="",D113=""),"",D113-C113)</f>
        <v>3</v>
      </c>
      <c r="AB113" s="16">
        <f>IF(C113="","",MONTH(C113))</f>
        <v>6</v>
      </c>
      <c r="AC113" s="16">
        <f>IF(C113="","",YEAR(C113))</f>
        <v>2025</v>
      </c>
      <c r="AD113" s="16" t="s">
        <v>86</v>
      </c>
      <c r="AE113" s="16" t="s">
        <v>66</v>
      </c>
      <c r="AF113" s="16" t="s">
        <v>255</v>
      </c>
    </row>
    <row r="114" spans="1:32" s="15" customFormat="1" x14ac:dyDescent="0.25">
      <c r="A114" s="16">
        <v>114</v>
      </c>
      <c r="B114" s="16" t="s">
        <v>484</v>
      </c>
      <c r="C114" s="17">
        <v>45300.77083333333</v>
      </c>
      <c r="D114" s="17">
        <v>45304.77083333333</v>
      </c>
      <c r="E114" s="16" t="s">
        <v>485</v>
      </c>
      <c r="F114" s="16" t="s">
        <v>153</v>
      </c>
      <c r="G114" s="16" t="s">
        <v>35</v>
      </c>
      <c r="H114" s="16" t="s">
        <v>232</v>
      </c>
      <c r="I114" s="16" t="s">
        <v>206</v>
      </c>
      <c r="J114" s="16" t="s">
        <v>207</v>
      </c>
      <c r="K114" s="16" t="s">
        <v>93</v>
      </c>
      <c r="L114" s="16" t="s">
        <v>94</v>
      </c>
      <c r="M114" s="16" t="s">
        <v>486</v>
      </c>
      <c r="N114" s="16" t="s">
        <v>76</v>
      </c>
      <c r="O114" s="16">
        <v>3</v>
      </c>
      <c r="P114" s="18">
        <v>3829.48</v>
      </c>
      <c r="Q114" s="19">
        <v>0.05</v>
      </c>
      <c r="R114" s="19">
        <v>0.05</v>
      </c>
      <c r="S114" s="18">
        <v>10914.02</v>
      </c>
      <c r="T114" s="18">
        <v>6548.74</v>
      </c>
      <c r="U114" s="18">
        <v>4365.28</v>
      </c>
      <c r="V114" s="16" t="s">
        <v>43</v>
      </c>
      <c r="W114" s="16" t="s">
        <v>44</v>
      </c>
      <c r="X114" s="18">
        <f>IF(OR(O114="",P114="",R114=""),"",O114*P114*(1-R114))</f>
        <v>10914.02</v>
      </c>
      <c r="Y114" s="18">
        <f>IF(OR(X114="",T114=""),"",X114-T114)</f>
        <v>4365.28</v>
      </c>
      <c r="Z114" s="19">
        <f>IFERROR(Y114/X114,"")</f>
        <v>0.4</v>
      </c>
      <c r="AA114" s="16">
        <f>IF(OR(C114="",D114=""),"",D114-C114)</f>
        <v>4</v>
      </c>
      <c r="AB114" s="16">
        <f>IF(C114="","",MONTH(C114))</f>
        <v>1</v>
      </c>
      <c r="AC114" s="16">
        <f>IF(C114="","",YEAR(C114))</f>
        <v>2024</v>
      </c>
      <c r="AD114" s="16" t="s">
        <v>86</v>
      </c>
      <c r="AE114" s="16" t="s">
        <v>46</v>
      </c>
      <c r="AF114" s="16" t="s">
        <v>487</v>
      </c>
    </row>
    <row r="115" spans="1:32" x14ac:dyDescent="0.25">
      <c r="A115" s="1">
        <v>115</v>
      </c>
      <c r="B115" s="1" t="s">
        <v>488</v>
      </c>
      <c r="C115" s="2">
        <v>45333.77083333333</v>
      </c>
      <c r="D115" s="2">
        <v>45333.77083333333</v>
      </c>
      <c r="E115" s="1" t="s">
        <v>394</v>
      </c>
      <c r="F115" s="1" t="s">
        <v>61</v>
      </c>
      <c r="G115" s="1" t="s">
        <v>114</v>
      </c>
      <c r="H115" s="1" t="s">
        <v>71</v>
      </c>
      <c r="I115" s="1" t="s">
        <v>277</v>
      </c>
      <c r="J115" s="1" t="s">
        <v>278</v>
      </c>
      <c r="K115" s="1" t="s">
        <v>55</v>
      </c>
      <c r="L115" s="1" t="s">
        <v>56</v>
      </c>
      <c r="M115" s="1" t="s">
        <v>489</v>
      </c>
      <c r="N115" s="1" t="s">
        <v>76</v>
      </c>
      <c r="O115" s="1">
        <v>3</v>
      </c>
      <c r="P115" s="3">
        <v>1089.15</v>
      </c>
      <c r="Q115" s="4">
        <v>0.25</v>
      </c>
      <c r="R115" s="4">
        <v>0.25</v>
      </c>
      <c r="S115" s="3">
        <v>2450.59</v>
      </c>
      <c r="T115" s="3">
        <v>1639.89</v>
      </c>
      <c r="U115" s="3">
        <v>810.7</v>
      </c>
      <c r="V115" s="1" t="s">
        <v>43</v>
      </c>
      <c r="W115" s="1" t="s">
        <v>44</v>
      </c>
      <c r="X115" s="3">
        <f>IF(OR(O115="",P115="",R115=""),"",O115*P115*(1-R115))</f>
        <v>2450.59</v>
      </c>
      <c r="Y115" s="3">
        <f>IF(OR(X115="",T115=""),"",X115-T115)</f>
        <v>810.7</v>
      </c>
      <c r="Z115" s="4">
        <f>IFERROR(Y115/X115,"")</f>
        <v>0.3308</v>
      </c>
      <c r="AA115" s="1">
        <f>IF(OR(C115="",D115=""),"",D115-C115)</f>
        <v>0</v>
      </c>
      <c r="AB115" s="1">
        <f>IF(C115="","",MONTH(C115))</f>
        <v>2</v>
      </c>
      <c r="AC115" s="1">
        <f>IF(C115="","",YEAR(C115))</f>
        <v>2024</v>
      </c>
      <c r="AD115" s="1" t="s">
        <v>45</v>
      </c>
      <c r="AE115" s="1" t="s">
        <v>46</v>
      </c>
      <c r="AF115" s="1" t="s">
        <v>47</v>
      </c>
    </row>
    <row r="116" spans="1:32" s="15" customFormat="1" x14ac:dyDescent="0.25">
      <c r="A116" s="16">
        <v>116</v>
      </c>
      <c r="B116" s="16" t="s">
        <v>490</v>
      </c>
      <c r="C116" s="17">
        <v>45559.77083333333</v>
      </c>
      <c r="D116" s="17">
        <v>45564.77083333333</v>
      </c>
      <c r="E116" s="16" t="s">
        <v>491</v>
      </c>
      <c r="F116" s="16" t="s">
        <v>98</v>
      </c>
      <c r="G116" s="16" t="s">
        <v>51</v>
      </c>
      <c r="H116" s="16" t="s">
        <v>36</v>
      </c>
      <c r="I116" s="16" t="s">
        <v>37</v>
      </c>
      <c r="J116" s="16" t="s">
        <v>38</v>
      </c>
      <c r="K116" s="16" t="s">
        <v>93</v>
      </c>
      <c r="L116" s="16" t="s">
        <v>94</v>
      </c>
      <c r="M116" s="16" t="s">
        <v>492</v>
      </c>
      <c r="N116" s="16" t="s">
        <v>42</v>
      </c>
      <c r="O116" s="16">
        <v>1</v>
      </c>
      <c r="P116" s="18">
        <v>4388.4</v>
      </c>
      <c r="Q116" s="19">
        <v>0.1</v>
      </c>
      <c r="R116" s="19">
        <v>0.1</v>
      </c>
      <c r="S116" s="18">
        <v>3949.56</v>
      </c>
      <c r="T116" s="18">
        <v>3186.73</v>
      </c>
      <c r="U116" s="18">
        <v>762.83</v>
      </c>
      <c r="V116" s="16" t="s">
        <v>131</v>
      </c>
      <c r="W116" s="16" t="s">
        <v>85</v>
      </c>
      <c r="X116" s="18">
        <f>IF(OR(O116="",P116="",R116=""),"",O116*P116*(1-R116))</f>
        <v>3949.56</v>
      </c>
      <c r="Y116" s="18">
        <f>IF(OR(X116="",T116=""),"",X116-T116)</f>
        <v>762.83</v>
      </c>
      <c r="Z116" s="19">
        <f>IFERROR(Y116/X116,"")</f>
        <v>0.1931</v>
      </c>
      <c r="AA116" s="16">
        <f>IF(OR(C116="",D116=""),"",D116-C116)</f>
        <v>5</v>
      </c>
      <c r="AB116" s="16">
        <f>IF(C116="","",MONTH(C116))</f>
        <v>9</v>
      </c>
      <c r="AC116" s="16">
        <f>IF(C116="","",YEAR(C116))</f>
        <v>2024</v>
      </c>
      <c r="AD116" s="16" t="s">
        <v>86</v>
      </c>
      <c r="AE116" s="16" t="s">
        <v>66</v>
      </c>
      <c r="AF116" s="16" t="s">
        <v>255</v>
      </c>
    </row>
    <row r="117" spans="1:32" s="15" customFormat="1" x14ac:dyDescent="0.25">
      <c r="A117" s="16">
        <v>117</v>
      </c>
      <c r="B117" s="16" t="s">
        <v>493</v>
      </c>
      <c r="C117" s="17">
        <v>45652.77083333333</v>
      </c>
      <c r="D117" s="17">
        <v>45657.77083333333</v>
      </c>
      <c r="E117" s="16" t="s">
        <v>494</v>
      </c>
      <c r="F117" s="16" t="s">
        <v>294</v>
      </c>
      <c r="G117" s="16" t="s">
        <v>109</v>
      </c>
      <c r="H117" s="16" t="s">
        <v>71</v>
      </c>
      <c r="I117" s="16" t="s">
        <v>277</v>
      </c>
      <c r="J117" s="16" t="s">
        <v>278</v>
      </c>
      <c r="K117" s="16" t="s">
        <v>39</v>
      </c>
      <c r="L117" s="16" t="s">
        <v>176</v>
      </c>
      <c r="M117" s="16" t="s">
        <v>495</v>
      </c>
      <c r="N117" s="16" t="s">
        <v>58</v>
      </c>
      <c r="O117" s="16">
        <v>2</v>
      </c>
      <c r="P117" s="18">
        <v>446.34</v>
      </c>
      <c r="Q117" s="19">
        <v>0.15</v>
      </c>
      <c r="R117" s="19">
        <v>0.15</v>
      </c>
      <c r="S117" s="18">
        <v>758.78</v>
      </c>
      <c r="T117" s="18">
        <v>490.74</v>
      </c>
      <c r="U117" s="18">
        <v>268.04</v>
      </c>
      <c r="V117" s="16" t="s">
        <v>43</v>
      </c>
      <c r="W117" s="16" t="s">
        <v>85</v>
      </c>
      <c r="X117" s="18">
        <f>IF(OR(O117="",P117="",R117=""),"",O117*P117*(1-R117))</f>
        <v>758.78</v>
      </c>
      <c r="Y117" s="18">
        <f>IF(OR(X117="",T117=""),"",X117-T117)</f>
        <v>268.04</v>
      </c>
      <c r="Z117" s="19">
        <f>IFERROR(Y117/X117,"")</f>
        <v>0.3533</v>
      </c>
      <c r="AA117" s="16">
        <f>IF(OR(C117="",D117=""),"",D117-C117)</f>
        <v>5</v>
      </c>
      <c r="AB117" s="16">
        <f>IF(C117="","",MONTH(C117))</f>
        <v>12</v>
      </c>
      <c r="AC117" s="16">
        <f>IF(C117="","",YEAR(C117))</f>
        <v>2024</v>
      </c>
      <c r="AD117" s="16" t="s">
        <v>86</v>
      </c>
      <c r="AE117" s="16" t="s">
        <v>66</v>
      </c>
      <c r="AF117" s="16" t="s">
        <v>87</v>
      </c>
    </row>
    <row r="118" spans="1:32" s="15" customFormat="1" x14ac:dyDescent="0.25">
      <c r="A118" s="16">
        <v>118</v>
      </c>
      <c r="B118" s="16" t="s">
        <v>496</v>
      </c>
      <c r="C118" s="17">
        <v>45702.77083333333</v>
      </c>
      <c r="D118" s="17">
        <v>45706.77083333333</v>
      </c>
      <c r="E118" s="16" t="s">
        <v>497</v>
      </c>
      <c r="F118" s="16" t="s">
        <v>79</v>
      </c>
      <c r="G118" s="16" t="s">
        <v>51</v>
      </c>
      <c r="H118" s="16" t="s">
        <v>232</v>
      </c>
      <c r="I118" s="16" t="s">
        <v>91</v>
      </c>
      <c r="J118" s="16" t="s">
        <v>92</v>
      </c>
      <c r="K118" s="16" t="s">
        <v>39</v>
      </c>
      <c r="L118" s="16" t="s">
        <v>176</v>
      </c>
      <c r="M118" s="16" t="s">
        <v>498</v>
      </c>
      <c r="N118" s="16" t="s">
        <v>64</v>
      </c>
      <c r="O118" s="16">
        <v>9</v>
      </c>
      <c r="P118" s="18">
        <v>531.99</v>
      </c>
      <c r="Q118" s="19">
        <v>0.25</v>
      </c>
      <c r="R118" s="19">
        <v>0.25</v>
      </c>
      <c r="S118" s="18">
        <v>3590.93</v>
      </c>
      <c r="T118" s="18">
        <v>3061.39</v>
      </c>
      <c r="U118" s="18">
        <v>529.54</v>
      </c>
      <c r="V118" s="16" t="s">
        <v>178</v>
      </c>
      <c r="W118" s="16" t="s">
        <v>85</v>
      </c>
      <c r="X118" s="18">
        <f>IF(OR(O118="",P118="",R118=""),"",O118*P118*(1-R118))</f>
        <v>3590.93</v>
      </c>
      <c r="Y118" s="18">
        <f>IF(OR(X118="",T118=""),"",X118-T118)</f>
        <v>529.54</v>
      </c>
      <c r="Z118" s="19">
        <f>IFERROR(Y118/X118,"")</f>
        <v>0.1475</v>
      </c>
      <c r="AA118" s="16">
        <f>IF(OR(C118="",D118=""),"",D118-C118)</f>
        <v>4</v>
      </c>
      <c r="AB118" s="16">
        <f>IF(C118="","",MONTH(C118))</f>
        <v>2</v>
      </c>
      <c r="AC118" s="16">
        <f>IF(C118="","",YEAR(C118))</f>
        <v>2025</v>
      </c>
      <c r="AD118" s="16" t="s">
        <v>86</v>
      </c>
      <c r="AE118" s="16" t="s">
        <v>66</v>
      </c>
      <c r="AF118" s="16" t="s">
        <v>499</v>
      </c>
    </row>
    <row r="119" spans="1:32" s="10" customFormat="1" x14ac:dyDescent="0.25">
      <c r="A119" s="11">
        <v>119</v>
      </c>
      <c r="B119" s="11" t="s">
        <v>500</v>
      </c>
      <c r="C119" s="12">
        <v>45336.77083333333</v>
      </c>
      <c r="D119" s="12">
        <v>45338.77083333333</v>
      </c>
      <c r="E119" s="11" t="s">
        <v>501</v>
      </c>
      <c r="F119" s="11" t="s">
        <v>50</v>
      </c>
      <c r="G119" s="11" t="s">
        <v>114</v>
      </c>
      <c r="H119" s="11" t="s">
        <v>71</v>
      </c>
      <c r="I119" s="11" t="s">
        <v>277</v>
      </c>
      <c r="J119" s="11" t="s">
        <v>278</v>
      </c>
      <c r="K119" s="11" t="s">
        <v>93</v>
      </c>
      <c r="L119" s="11" t="s">
        <v>305</v>
      </c>
      <c r="M119" s="11" t="s">
        <v>502</v>
      </c>
      <c r="N119" s="11" t="s">
        <v>76</v>
      </c>
      <c r="O119" s="11">
        <v>9</v>
      </c>
      <c r="P119" s="13">
        <v>3324.55</v>
      </c>
      <c r="Q119" s="14"/>
      <c r="R119" s="14">
        <v>0</v>
      </c>
      <c r="S119" s="13">
        <v>25432.81</v>
      </c>
      <c r="T119" s="13">
        <v>20370.16</v>
      </c>
      <c r="U119" s="13">
        <v>5062.65</v>
      </c>
      <c r="V119" s="11" t="s">
        <v>43</v>
      </c>
      <c r="W119" s="11" t="s">
        <v>44</v>
      </c>
      <c r="X119" s="13">
        <f>IF(OR(O119="",P119="",R119=""),"",O119*P119*(1-R119))</f>
        <v>29920.95</v>
      </c>
      <c r="Y119" s="13">
        <f>IF(OR(X119="",T119=""),"",X119-T119)</f>
        <v>9550.79</v>
      </c>
      <c r="Z119" s="14">
        <f>IFERROR(Y119/X119,"")</f>
        <v>0.3192</v>
      </c>
      <c r="AA119" s="11">
        <f>IF(OR(C119="",D119=""),"",D119-C119)</f>
        <v>2</v>
      </c>
      <c r="AB119" s="11">
        <f>IF(C119="","",MONTH(C119))</f>
        <v>2</v>
      </c>
      <c r="AC119" s="11">
        <f>IF(C119="","",YEAR(C119))</f>
        <v>2024</v>
      </c>
      <c r="AD119" s="11" t="s">
        <v>65</v>
      </c>
      <c r="AE119" s="11" t="s">
        <v>66</v>
      </c>
      <c r="AF119" s="11" t="s">
        <v>225</v>
      </c>
    </row>
    <row r="120" spans="1:32" x14ac:dyDescent="0.25">
      <c r="A120" s="1">
        <v>120</v>
      </c>
      <c r="B120" s="1" t="s">
        <v>503</v>
      </c>
      <c r="C120" s="2">
        <v>45452.77083333333</v>
      </c>
      <c r="D120" s="2">
        <v>45460.77083333333</v>
      </c>
      <c r="E120" s="1" t="s">
        <v>504</v>
      </c>
      <c r="F120" s="1" t="s">
        <v>90</v>
      </c>
      <c r="G120" s="1" t="s">
        <v>114</v>
      </c>
      <c r="H120" s="1" t="s">
        <v>71</v>
      </c>
      <c r="I120" s="1" t="s">
        <v>103</v>
      </c>
      <c r="J120" s="1" t="s">
        <v>104</v>
      </c>
      <c r="K120" s="1" t="s">
        <v>93</v>
      </c>
      <c r="L120" s="1" t="s">
        <v>99</v>
      </c>
      <c r="M120" s="1" t="s">
        <v>505</v>
      </c>
      <c r="N120" s="1" t="s">
        <v>58</v>
      </c>
      <c r="O120" s="1">
        <v>5</v>
      </c>
      <c r="P120" s="3">
        <v>1580.27</v>
      </c>
      <c r="Q120" s="4">
        <v>0.2</v>
      </c>
      <c r="R120" s="4">
        <v>0.2</v>
      </c>
      <c r="S120" s="3">
        <v>6321.08</v>
      </c>
      <c r="T120" s="3">
        <v>4407.22</v>
      </c>
      <c r="U120" s="3">
        <v>1913.86</v>
      </c>
      <c r="V120" s="1" t="s">
        <v>43</v>
      </c>
      <c r="W120" s="1" t="s">
        <v>44</v>
      </c>
      <c r="X120" s="3">
        <f>IF(OR(O120="",P120="",R120=""),"",O120*P120*(1-R120))</f>
        <v>6321.08</v>
      </c>
      <c r="Y120" s="3">
        <f>IF(OR(X120="",T120=""),"",X120-T120)</f>
        <v>1913.86</v>
      </c>
      <c r="Z120" s="4">
        <f>IFERROR(Y120/X120,"")</f>
        <v>0.3028</v>
      </c>
      <c r="AA120" s="1">
        <f>IF(OR(C120="",D120=""),"",D120-C120)</f>
        <v>8</v>
      </c>
      <c r="AB120" s="1">
        <f>IF(C120="","",MONTH(C120))</f>
        <v>6</v>
      </c>
      <c r="AC120" s="1">
        <f>IF(C120="","",YEAR(C120))</f>
        <v>2024</v>
      </c>
      <c r="AD120" s="1" t="s">
        <v>45</v>
      </c>
      <c r="AE120" s="1" t="s">
        <v>46</v>
      </c>
      <c r="AF120" s="1" t="s">
        <v>47</v>
      </c>
    </row>
    <row r="121" spans="1:32" s="15" customFormat="1" x14ac:dyDescent="0.25">
      <c r="A121" s="16">
        <v>121</v>
      </c>
      <c r="B121" s="16" t="s">
        <v>506</v>
      </c>
      <c r="C121" s="17">
        <v>45454.77083333333</v>
      </c>
      <c r="D121" s="17">
        <v>45461.77083333333</v>
      </c>
      <c r="E121" s="16" t="s">
        <v>507</v>
      </c>
      <c r="F121" s="16" t="s">
        <v>108</v>
      </c>
      <c r="G121" s="16" t="s">
        <v>51</v>
      </c>
      <c r="H121" s="16" t="s">
        <v>71</v>
      </c>
      <c r="I121" s="16" t="s">
        <v>211</v>
      </c>
      <c r="J121" s="16" t="s">
        <v>212</v>
      </c>
      <c r="K121" s="16" t="s">
        <v>55</v>
      </c>
      <c r="L121" s="16" t="s">
        <v>83</v>
      </c>
      <c r="M121" s="16" t="s">
        <v>508</v>
      </c>
      <c r="N121" s="16" t="s">
        <v>76</v>
      </c>
      <c r="O121" s="16">
        <v>8</v>
      </c>
      <c r="P121" s="18">
        <v>314.05</v>
      </c>
      <c r="Q121" s="19">
        <v>0.25</v>
      </c>
      <c r="R121" s="19">
        <v>0.25</v>
      </c>
      <c r="S121" s="18">
        <v>1884.3</v>
      </c>
      <c r="T121" s="18">
        <v>1517.69</v>
      </c>
      <c r="U121" s="18">
        <v>366.61</v>
      </c>
      <c r="V121" s="16" t="s">
        <v>121</v>
      </c>
      <c r="W121" s="16" t="s">
        <v>122</v>
      </c>
      <c r="X121" s="18">
        <f>IF(OR(O121="",P121="",R121=""),"",O121*P121*(1-R121))</f>
        <v>1884.3</v>
      </c>
      <c r="Y121" s="18">
        <f>IF(OR(X121="",T121=""),"",X121-T121)</f>
        <v>366.61</v>
      </c>
      <c r="Z121" s="19">
        <f>IFERROR(Y121/X121,"")</f>
        <v>0.1946</v>
      </c>
      <c r="AA121" s="16">
        <f>IF(OR(C121="",D121=""),"",D121-C121)</f>
        <v>7</v>
      </c>
      <c r="AB121" s="16">
        <f>IF(C121="","",MONTH(C121))</f>
        <v>6</v>
      </c>
      <c r="AC121" s="16">
        <f>IF(C121="","",YEAR(C121))</f>
        <v>2024</v>
      </c>
      <c r="AD121" s="16" t="s">
        <v>86</v>
      </c>
      <c r="AE121" s="16" t="s">
        <v>66</v>
      </c>
      <c r="AF121" s="16" t="s">
        <v>123</v>
      </c>
    </row>
    <row r="122" spans="1:32" s="15" customFormat="1" x14ac:dyDescent="0.25">
      <c r="A122" s="16">
        <v>122</v>
      </c>
      <c r="B122" s="16" t="s">
        <v>509</v>
      </c>
      <c r="C122" s="17">
        <v>45513.77083333333</v>
      </c>
      <c r="D122" s="17">
        <v>45521.77083333333</v>
      </c>
      <c r="E122" s="16" t="s">
        <v>510</v>
      </c>
      <c r="F122" s="16" t="s">
        <v>153</v>
      </c>
      <c r="G122" s="16" t="s">
        <v>51</v>
      </c>
      <c r="H122" s="16" t="s">
        <v>52</v>
      </c>
      <c r="I122" s="16" t="s">
        <v>168</v>
      </c>
      <c r="J122" s="16" t="s">
        <v>169</v>
      </c>
      <c r="K122" s="16" t="s">
        <v>93</v>
      </c>
      <c r="L122" s="16" t="s">
        <v>196</v>
      </c>
      <c r="M122" s="16" t="s">
        <v>511</v>
      </c>
      <c r="N122" s="16" t="s">
        <v>76</v>
      </c>
      <c r="O122" s="16">
        <v>1</v>
      </c>
      <c r="P122" s="18">
        <v>1823.67</v>
      </c>
      <c r="Q122" s="19">
        <v>0.2</v>
      </c>
      <c r="R122" s="19">
        <v>0.2</v>
      </c>
      <c r="S122" s="18">
        <v>1458.94</v>
      </c>
      <c r="T122" s="18">
        <v>893.2</v>
      </c>
      <c r="U122" s="18">
        <v>565.74</v>
      </c>
      <c r="V122" s="16" t="s">
        <v>43</v>
      </c>
      <c r="W122" s="16" t="s">
        <v>122</v>
      </c>
      <c r="X122" s="18">
        <f>IF(OR(O122="",P122="",R122=""),"",O122*P122*(1-R122))</f>
        <v>1458.94</v>
      </c>
      <c r="Y122" s="18">
        <f>IF(OR(X122="",T122=""),"",X122-T122)</f>
        <v>565.74</v>
      </c>
      <c r="Z122" s="19">
        <f>IFERROR(Y122/X122,"")</f>
        <v>0.3878</v>
      </c>
      <c r="AA122" s="16">
        <f>IF(OR(C122="",D122=""),"",D122-C122)</f>
        <v>8</v>
      </c>
      <c r="AB122" s="16">
        <f>IF(C122="","",MONTH(C122))</f>
        <v>8</v>
      </c>
      <c r="AC122" s="16">
        <f>IF(C122="","",YEAR(C122))</f>
        <v>2024</v>
      </c>
      <c r="AD122" s="16" t="s">
        <v>86</v>
      </c>
      <c r="AE122" s="16" t="s">
        <v>66</v>
      </c>
      <c r="AF122" s="16" t="s">
        <v>198</v>
      </c>
    </row>
    <row r="123" spans="1:32" s="15" customFormat="1" x14ac:dyDescent="0.25">
      <c r="A123" s="16">
        <v>123</v>
      </c>
      <c r="B123" s="16" t="s">
        <v>512</v>
      </c>
      <c r="C123" s="17">
        <v>45890.77083333333</v>
      </c>
      <c r="D123" s="17">
        <v>45894.77083333333</v>
      </c>
      <c r="E123" s="16" t="s">
        <v>513</v>
      </c>
      <c r="F123" s="16" t="s">
        <v>294</v>
      </c>
      <c r="G123" s="16" t="s">
        <v>51</v>
      </c>
      <c r="H123" s="16" t="s">
        <v>71</v>
      </c>
      <c r="I123" s="16" t="s">
        <v>103</v>
      </c>
      <c r="J123" s="16" t="s">
        <v>104</v>
      </c>
      <c r="K123" s="16" t="s">
        <v>93</v>
      </c>
      <c r="L123" s="16" t="s">
        <v>305</v>
      </c>
      <c r="M123" s="16" t="s">
        <v>514</v>
      </c>
      <c r="N123" s="16" t="s">
        <v>42</v>
      </c>
      <c r="O123" s="16">
        <v>5</v>
      </c>
      <c r="P123" s="18">
        <v>3482.92</v>
      </c>
      <c r="Q123" s="19">
        <v>0</v>
      </c>
      <c r="R123" s="19">
        <v>0</v>
      </c>
      <c r="S123" s="18">
        <v>17414.6</v>
      </c>
      <c r="T123" s="18">
        <v>11760.91</v>
      </c>
      <c r="U123" s="18">
        <v>5653.69</v>
      </c>
      <c r="V123" s="16" t="s">
        <v>121</v>
      </c>
      <c r="W123" s="16" t="s">
        <v>85</v>
      </c>
      <c r="X123" s="18">
        <f>IF(OR(O123="",P123="",R123=""),"",O123*P123*(1-R123))</f>
        <v>17414.6</v>
      </c>
      <c r="Y123" s="18">
        <f>IF(OR(X123="",T123=""),"",X123-T123)</f>
        <v>5653.69</v>
      </c>
      <c r="Z123" s="19">
        <f>IFERROR(Y123/X123,"")</f>
        <v>0.3247</v>
      </c>
      <c r="AA123" s="16">
        <f>IF(OR(C123="",D123=""),"",D123-C123)</f>
        <v>4</v>
      </c>
      <c r="AB123" s="16">
        <f>IF(C123="","",MONTH(C123))</f>
        <v>8</v>
      </c>
      <c r="AC123" s="16">
        <f>IF(C123="","",YEAR(C123))</f>
        <v>2025</v>
      </c>
      <c r="AD123" s="16" t="s">
        <v>86</v>
      </c>
      <c r="AE123" s="16" t="s">
        <v>66</v>
      </c>
      <c r="AF123" s="16" t="s">
        <v>160</v>
      </c>
    </row>
    <row r="124" spans="1:32" x14ac:dyDescent="0.25">
      <c r="A124" s="1">
        <v>124</v>
      </c>
      <c r="B124" s="1" t="s">
        <v>515</v>
      </c>
      <c r="C124" s="2">
        <v>45625.77083333333</v>
      </c>
      <c r="D124" s="2">
        <v>45629.77083333333</v>
      </c>
      <c r="E124" s="1" t="s">
        <v>516</v>
      </c>
      <c r="F124" s="1" t="s">
        <v>79</v>
      </c>
      <c r="G124" s="1" t="s">
        <v>51</v>
      </c>
      <c r="H124" s="1" t="s">
        <v>52</v>
      </c>
      <c r="I124" s="1" t="s">
        <v>191</v>
      </c>
      <c r="J124" s="1" t="s">
        <v>192</v>
      </c>
      <c r="K124" s="1" t="s">
        <v>55</v>
      </c>
      <c r="L124" s="1" t="s">
        <v>83</v>
      </c>
      <c r="M124" s="1" t="s">
        <v>517</v>
      </c>
      <c r="N124" s="1" t="s">
        <v>42</v>
      </c>
      <c r="O124" s="1">
        <v>3</v>
      </c>
      <c r="P124" s="3">
        <v>170.35</v>
      </c>
      <c r="Q124" s="4">
        <v>0</v>
      </c>
      <c r="R124" s="4">
        <v>0</v>
      </c>
      <c r="S124" s="3">
        <v>511.05</v>
      </c>
      <c r="T124" s="3">
        <v>367.18</v>
      </c>
      <c r="U124" s="3">
        <v>143.87</v>
      </c>
      <c r="V124" s="1" t="s">
        <v>43</v>
      </c>
      <c r="W124" s="1" t="s">
        <v>44</v>
      </c>
      <c r="X124" s="3">
        <f>IF(OR(O124="",P124="",R124=""),"",O124*P124*(1-R124))</f>
        <v>511.05</v>
      </c>
      <c r="Y124" s="3">
        <f>IF(OR(X124="",T124=""),"",X124-T124)</f>
        <v>143.87</v>
      </c>
      <c r="Z124" s="4">
        <f>IFERROR(Y124/X124,"")</f>
        <v>0.2815</v>
      </c>
      <c r="AA124" s="1">
        <f>IF(OR(C124="",D124=""),"",D124-C124)</f>
        <v>4</v>
      </c>
      <c r="AB124" s="1">
        <f>IF(C124="","",MONTH(C124))</f>
        <v>11</v>
      </c>
      <c r="AC124" s="1">
        <f>IF(C124="","",YEAR(C124))</f>
        <v>2024</v>
      </c>
      <c r="AD124" s="1" t="s">
        <v>45</v>
      </c>
      <c r="AE124" s="1" t="s">
        <v>46</v>
      </c>
      <c r="AF124" s="1" t="s">
        <v>47</v>
      </c>
    </row>
    <row r="125" spans="1:32" s="10" customFormat="1" x14ac:dyDescent="0.25">
      <c r="A125" s="11">
        <v>125</v>
      </c>
      <c r="B125" s="11" t="s">
        <v>518</v>
      </c>
      <c r="C125" s="12">
        <v>45435.77083333333</v>
      </c>
      <c r="D125" s="12">
        <v>45436.77083333333</v>
      </c>
      <c r="E125" s="11" t="s">
        <v>519</v>
      </c>
      <c r="F125" s="11" t="s">
        <v>153</v>
      </c>
      <c r="G125" s="11" t="s">
        <v>51</v>
      </c>
      <c r="H125" s="11" t="s">
        <v>36</v>
      </c>
      <c r="I125" s="11" t="s">
        <v>143</v>
      </c>
      <c r="J125" s="11" t="s">
        <v>144</v>
      </c>
      <c r="K125" s="11" t="s">
        <v>93</v>
      </c>
      <c r="L125" s="11" t="s">
        <v>99</v>
      </c>
      <c r="M125" s="11" t="s">
        <v>520</v>
      </c>
      <c r="N125" s="11" t="s">
        <v>58</v>
      </c>
      <c r="O125" s="11">
        <v>1</v>
      </c>
      <c r="P125" s="13">
        <v>634.13</v>
      </c>
      <c r="Q125" s="14">
        <v>0</v>
      </c>
      <c r="R125" s="14">
        <v>0</v>
      </c>
      <c r="S125" s="13">
        <v>634.13</v>
      </c>
      <c r="T125" s="13">
        <v>453.35</v>
      </c>
      <c r="U125" s="13">
        <v>180.78</v>
      </c>
      <c r="V125" s="11" t="s">
        <v>121</v>
      </c>
      <c r="W125" s="11" t="s">
        <v>85</v>
      </c>
      <c r="X125" s="13">
        <f>IF(OR(O125="",P125="",R125=""),"",O125*P125*(1-R125))</f>
        <v>634.13</v>
      </c>
      <c r="Y125" s="13">
        <f>IF(OR(X125="",T125=""),"",X125-T125)</f>
        <v>180.78</v>
      </c>
      <c r="Z125" s="14">
        <f>IFERROR(Y125/X125,"")</f>
        <v>0.2851</v>
      </c>
      <c r="AA125" s="11">
        <f>IF(OR(C125="",D125=""),"",D125-C125)</f>
        <v>1</v>
      </c>
      <c r="AB125" s="11">
        <f>IF(C125="","",MONTH(C125))</f>
        <v>5</v>
      </c>
      <c r="AC125" s="11">
        <f>IF(C125="","",YEAR(C125))</f>
        <v>2024</v>
      </c>
      <c r="AD125" s="11" t="s">
        <v>65</v>
      </c>
      <c r="AE125" s="11" t="s">
        <v>66</v>
      </c>
      <c r="AF125" s="11" t="s">
        <v>521</v>
      </c>
    </row>
    <row r="126" spans="1:32" s="10" customFormat="1" x14ac:dyDescent="0.25">
      <c r="A126" s="11">
        <v>126</v>
      </c>
      <c r="B126" s="11" t="s">
        <v>522</v>
      </c>
      <c r="C126" s="12">
        <v>45493.77083333333</v>
      </c>
      <c r="D126" s="12">
        <v>45496.77083333333</v>
      </c>
      <c r="E126" s="11" t="s">
        <v>523</v>
      </c>
      <c r="F126" s="11" t="s">
        <v>61</v>
      </c>
      <c r="G126" s="11" t="s">
        <v>109</v>
      </c>
      <c r="H126" s="11" t="s">
        <v>71</v>
      </c>
      <c r="I126" s="11" t="s">
        <v>201</v>
      </c>
      <c r="J126" s="11" t="s">
        <v>202</v>
      </c>
      <c r="K126" s="11" t="s">
        <v>93</v>
      </c>
      <c r="L126" s="11" t="s">
        <v>99</v>
      </c>
      <c r="M126" s="11" t="s">
        <v>524</v>
      </c>
      <c r="N126" s="11" t="s">
        <v>76</v>
      </c>
      <c r="O126" s="11">
        <v>9</v>
      </c>
      <c r="P126" s="13">
        <v>465.06</v>
      </c>
      <c r="Q126" s="14">
        <v>-0.15</v>
      </c>
      <c r="R126" s="14">
        <v>-0.15</v>
      </c>
      <c r="S126" s="13">
        <v>4185.54</v>
      </c>
      <c r="T126" s="13">
        <v>3443.74</v>
      </c>
      <c r="U126" s="13">
        <v>741.8</v>
      </c>
      <c r="V126" s="11" t="s">
        <v>43</v>
      </c>
      <c r="W126" s="11" t="s">
        <v>44</v>
      </c>
      <c r="X126" s="13">
        <f>IF(OR(O126="",P126="",R126=""),"",O126*P126*(1-R126))</f>
        <v>4813.37</v>
      </c>
      <c r="Y126" s="13">
        <f>IF(OR(X126="",T126=""),"",X126-T126)</f>
        <v>1369.63</v>
      </c>
      <c r="Z126" s="14">
        <f>IFERROR(Y126/X126,"")</f>
        <v>0.2845</v>
      </c>
      <c r="AA126" s="11">
        <f>IF(OR(C126="",D126=""),"",D126-C126)</f>
        <v>3</v>
      </c>
      <c r="AB126" s="11">
        <f>IF(C126="","",MONTH(C126))</f>
        <v>7</v>
      </c>
      <c r="AC126" s="11">
        <f>IF(C126="","",YEAR(C126))</f>
        <v>2024</v>
      </c>
      <c r="AD126" s="11" t="s">
        <v>65</v>
      </c>
      <c r="AE126" s="11" t="s">
        <v>66</v>
      </c>
      <c r="AF126" s="11" t="s">
        <v>165</v>
      </c>
    </row>
    <row r="127" spans="1:32" s="15" customFormat="1" x14ac:dyDescent="0.25">
      <c r="A127" s="16">
        <v>127</v>
      </c>
      <c r="B127" s="16" t="s">
        <v>525</v>
      </c>
      <c r="C127" s="17">
        <v>45854.77083333333</v>
      </c>
      <c r="D127" s="17">
        <v>45855.77083333333</v>
      </c>
      <c r="E127" s="16" t="s">
        <v>526</v>
      </c>
      <c r="F127" s="16" t="s">
        <v>98</v>
      </c>
      <c r="G127" s="16" t="s">
        <v>51</v>
      </c>
      <c r="H127" s="16" t="s">
        <v>80</v>
      </c>
      <c r="I127" s="16" t="s">
        <v>37</v>
      </c>
      <c r="J127" s="16" t="s">
        <v>129</v>
      </c>
      <c r="K127" s="16" t="s">
        <v>55</v>
      </c>
      <c r="L127" s="16" t="s">
        <v>56</v>
      </c>
      <c r="M127" s="16" t="s">
        <v>527</v>
      </c>
      <c r="N127" s="16" t="s">
        <v>58</v>
      </c>
      <c r="O127" s="16">
        <v>6</v>
      </c>
      <c r="P127" s="18">
        <v>3235.27</v>
      </c>
      <c r="Q127" s="19">
        <v>0.25</v>
      </c>
      <c r="R127" s="19">
        <v>0.25</v>
      </c>
      <c r="S127" s="18">
        <v>14558.72</v>
      </c>
      <c r="T127" s="18">
        <v>9591.48</v>
      </c>
      <c r="U127" s="18">
        <v>4967.24</v>
      </c>
      <c r="V127" s="16" t="s">
        <v>121</v>
      </c>
      <c r="W127" s="16" t="s">
        <v>122</v>
      </c>
      <c r="X127" s="18">
        <f>IF(OR(O127="",P127="",R127=""),"",O127*P127*(1-R127))</f>
        <v>14558.72</v>
      </c>
      <c r="Y127" s="18">
        <f>IF(OR(X127="",T127=""),"",X127-T127)</f>
        <v>4967.24</v>
      </c>
      <c r="Z127" s="19">
        <f>IFERROR(Y127/X127,"")</f>
        <v>0.3412</v>
      </c>
      <c r="AA127" s="16">
        <f>IF(OR(C127="",D127=""),"",D127-C127)</f>
        <v>1</v>
      </c>
      <c r="AB127" s="16">
        <f>IF(C127="","",MONTH(C127))</f>
        <v>7</v>
      </c>
      <c r="AC127" s="16">
        <f>IF(C127="","",YEAR(C127))</f>
        <v>2025</v>
      </c>
      <c r="AD127" s="16" t="s">
        <v>86</v>
      </c>
      <c r="AE127" s="16" t="s">
        <v>66</v>
      </c>
      <c r="AF127" s="16" t="s">
        <v>123</v>
      </c>
    </row>
    <row r="128" spans="1:32" x14ac:dyDescent="0.25">
      <c r="A128" s="1">
        <v>128</v>
      </c>
      <c r="B128" s="1" t="s">
        <v>528</v>
      </c>
      <c r="C128" s="2">
        <v>45923.77083333333</v>
      </c>
      <c r="D128" s="2">
        <v>45925.77083333333</v>
      </c>
      <c r="E128" s="1" t="s">
        <v>529</v>
      </c>
      <c r="F128" s="1" t="s">
        <v>135</v>
      </c>
      <c r="G128" s="1" t="s">
        <v>109</v>
      </c>
      <c r="H128" s="1" t="s">
        <v>36</v>
      </c>
      <c r="I128" s="1" t="s">
        <v>384</v>
      </c>
      <c r="J128" s="1" t="s">
        <v>385</v>
      </c>
      <c r="K128" s="1" t="s">
        <v>93</v>
      </c>
      <c r="L128" s="1" t="s">
        <v>99</v>
      </c>
      <c r="M128" s="1" t="s">
        <v>530</v>
      </c>
      <c r="N128" s="1" t="s">
        <v>76</v>
      </c>
      <c r="O128" s="1">
        <v>3</v>
      </c>
      <c r="P128" s="3">
        <v>1593.86</v>
      </c>
      <c r="Q128" s="4">
        <v>0.1</v>
      </c>
      <c r="R128" s="4">
        <v>0.1</v>
      </c>
      <c r="S128" s="3">
        <v>4303.42</v>
      </c>
      <c r="T128" s="3">
        <v>2568.57</v>
      </c>
      <c r="U128" s="3">
        <v>1734.85</v>
      </c>
      <c r="V128" s="1" t="s">
        <v>43</v>
      </c>
      <c r="W128" s="1" t="s">
        <v>44</v>
      </c>
      <c r="X128" s="3">
        <f>IF(OR(O128="",P128="",R128=""),"",O128*P128*(1-R128))</f>
        <v>4303.42</v>
      </c>
      <c r="Y128" s="3">
        <f>IF(OR(X128="",T128=""),"",X128-T128)</f>
        <v>1734.85</v>
      </c>
      <c r="Z128" s="4">
        <f>IFERROR(Y128/X128,"")</f>
        <v>0.4031</v>
      </c>
      <c r="AA128" s="1">
        <f>IF(OR(C128="",D128=""),"",D128-C128)</f>
        <v>2</v>
      </c>
      <c r="AB128" s="1">
        <f>IF(C128="","",MONTH(C128))</f>
        <v>9</v>
      </c>
      <c r="AC128" s="1">
        <f>IF(C128="","",YEAR(C128))</f>
        <v>2025</v>
      </c>
      <c r="AD128" s="1" t="s">
        <v>45</v>
      </c>
      <c r="AE128" s="1" t="s">
        <v>46</v>
      </c>
      <c r="AF128" s="1" t="s">
        <v>47</v>
      </c>
    </row>
    <row r="129" spans="1:32" s="10" customFormat="1" x14ac:dyDescent="0.25">
      <c r="A129" s="11">
        <v>129</v>
      </c>
      <c r="B129" s="11" t="s">
        <v>531</v>
      </c>
      <c r="C129" s="12">
        <v>45686.77083333333</v>
      </c>
      <c r="D129" s="12">
        <v>45682.77083333333</v>
      </c>
      <c r="E129" s="11" t="s">
        <v>532</v>
      </c>
      <c r="F129" s="11" t="s">
        <v>135</v>
      </c>
      <c r="G129" s="11" t="s">
        <v>109</v>
      </c>
      <c r="H129" s="11" t="s">
        <v>80</v>
      </c>
      <c r="I129" s="11" t="s">
        <v>91</v>
      </c>
      <c r="J129" s="11" t="s">
        <v>92</v>
      </c>
      <c r="K129" s="11" t="s">
        <v>39</v>
      </c>
      <c r="L129" s="11" t="s">
        <v>145</v>
      </c>
      <c r="M129" s="11" t="s">
        <v>533</v>
      </c>
      <c r="N129" s="11" t="s">
        <v>42</v>
      </c>
      <c r="O129" s="11">
        <v>2</v>
      </c>
      <c r="P129" s="13">
        <v>3039.3</v>
      </c>
      <c r="Q129" s="14">
        <v>0.05</v>
      </c>
      <c r="R129" s="14">
        <v>0.05</v>
      </c>
      <c r="S129" s="13">
        <v>5774.67</v>
      </c>
      <c r="T129" s="13">
        <v>3518.36</v>
      </c>
      <c r="U129" s="13">
        <v>2256.31</v>
      </c>
      <c r="V129" s="11" t="s">
        <v>43</v>
      </c>
      <c r="W129" s="11" t="s">
        <v>44</v>
      </c>
      <c r="X129" s="13">
        <f>IF(OR(O129="",P129="",R129=""),"",O129*P129*(1-R129))</f>
        <v>5774.67</v>
      </c>
      <c r="Y129" s="13">
        <f>IF(OR(X129="",T129=""),"",X129-T129)</f>
        <v>2256.31</v>
      </c>
      <c r="Z129" s="14">
        <f>IFERROR(Y129/X129,"")</f>
        <v>0.3907</v>
      </c>
      <c r="AA129" s="11">
        <f>IF(OR(C129="",D129=""),"",D129-C129)</f>
        <v>-4</v>
      </c>
      <c r="AB129" s="11">
        <f>IF(C129="","",MONTH(C129))</f>
        <v>1</v>
      </c>
      <c r="AC129" s="11">
        <f>IF(C129="","",YEAR(C129))</f>
        <v>2025</v>
      </c>
      <c r="AD129" s="11" t="s">
        <v>65</v>
      </c>
      <c r="AE129" s="11" t="s">
        <v>66</v>
      </c>
      <c r="AF129" s="11" t="s">
        <v>360</v>
      </c>
    </row>
    <row r="130" spans="1:32" s="15" customFormat="1" x14ac:dyDescent="0.25">
      <c r="A130" s="16">
        <v>130</v>
      </c>
      <c r="B130" s="16" t="s">
        <v>534</v>
      </c>
      <c r="C130" s="17">
        <v>45638.77083333333</v>
      </c>
      <c r="D130" s="17">
        <v>45641.77083333333</v>
      </c>
      <c r="E130" s="16" t="s">
        <v>535</v>
      </c>
      <c r="F130" s="16" t="s">
        <v>98</v>
      </c>
      <c r="G130" s="16" t="s">
        <v>51</v>
      </c>
      <c r="H130" s="16" t="s">
        <v>52</v>
      </c>
      <c r="I130" s="16" t="s">
        <v>53</v>
      </c>
      <c r="J130" s="16" t="s">
        <v>54</v>
      </c>
      <c r="K130" s="16" t="s">
        <v>55</v>
      </c>
      <c r="L130" s="16" t="s">
        <v>74</v>
      </c>
      <c r="M130" s="16" t="s">
        <v>536</v>
      </c>
      <c r="N130" s="16" t="s">
        <v>76</v>
      </c>
      <c r="O130" s="16">
        <v>5</v>
      </c>
      <c r="P130" s="18">
        <v>923.45</v>
      </c>
      <c r="Q130" s="19">
        <v>0.05</v>
      </c>
      <c r="R130" s="19">
        <v>0.05</v>
      </c>
      <c r="S130" s="18">
        <v>4386.39</v>
      </c>
      <c r="T130" s="18">
        <v>3366.88</v>
      </c>
      <c r="U130" s="18">
        <v>1019.51</v>
      </c>
      <c r="V130" s="16" t="s">
        <v>43</v>
      </c>
      <c r="W130" s="16" t="s">
        <v>122</v>
      </c>
      <c r="X130" s="18">
        <f>IF(OR(O130="",P130="",R130=""),"",O130*P130*(1-R130))</f>
        <v>4386.39</v>
      </c>
      <c r="Y130" s="18">
        <f>IF(OR(X130="",T130=""),"",X130-T130)</f>
        <v>1019.51</v>
      </c>
      <c r="Z130" s="19">
        <f>IFERROR(Y130/X130,"")</f>
        <v>0.2324</v>
      </c>
      <c r="AA130" s="16">
        <f>IF(OR(C130="",D130=""),"",D130-C130)</f>
        <v>3</v>
      </c>
      <c r="AB130" s="16">
        <f>IF(C130="","",MONTH(C130))</f>
        <v>12</v>
      </c>
      <c r="AC130" s="16">
        <f>IF(C130="","",YEAR(C130))</f>
        <v>2024</v>
      </c>
      <c r="AD130" s="16" t="s">
        <v>86</v>
      </c>
      <c r="AE130" s="16" t="s">
        <v>66</v>
      </c>
      <c r="AF130" s="16" t="s">
        <v>198</v>
      </c>
    </row>
    <row r="131" spans="1:32" x14ac:dyDescent="0.25">
      <c r="A131" s="1">
        <v>131</v>
      </c>
      <c r="B131" s="1" t="s">
        <v>537</v>
      </c>
      <c r="C131" s="2">
        <v>45491.77083333333</v>
      </c>
      <c r="D131" s="2">
        <v>45497.77083333333</v>
      </c>
      <c r="E131" s="1" t="s">
        <v>538</v>
      </c>
      <c r="F131" s="1" t="s">
        <v>61</v>
      </c>
      <c r="G131" s="1" t="s">
        <v>51</v>
      </c>
      <c r="H131" s="1" t="s">
        <v>80</v>
      </c>
      <c r="I131" s="1" t="s">
        <v>216</v>
      </c>
      <c r="J131" s="1" t="s">
        <v>217</v>
      </c>
      <c r="K131" s="1" t="s">
        <v>39</v>
      </c>
      <c r="L131" s="1" t="s">
        <v>176</v>
      </c>
      <c r="M131" s="1" t="s">
        <v>539</v>
      </c>
      <c r="N131" s="1" t="s">
        <v>76</v>
      </c>
      <c r="O131" s="1">
        <v>7</v>
      </c>
      <c r="P131" s="3">
        <v>2741.29</v>
      </c>
      <c r="Q131" s="4">
        <v>0.05</v>
      </c>
      <c r="R131" s="4">
        <v>0.05</v>
      </c>
      <c r="S131" s="3">
        <v>18229.58</v>
      </c>
      <c r="T131" s="3">
        <v>15139.15</v>
      </c>
      <c r="U131" s="3">
        <v>3090.43</v>
      </c>
      <c r="V131" s="1" t="s">
        <v>43</v>
      </c>
      <c r="W131" s="1" t="s">
        <v>44</v>
      </c>
      <c r="X131" s="3">
        <f>IF(OR(O131="",P131="",R131=""),"",O131*P131*(1-R131))</f>
        <v>18229.58</v>
      </c>
      <c r="Y131" s="3">
        <f>IF(OR(X131="",T131=""),"",X131-T131)</f>
        <v>3090.43</v>
      </c>
      <c r="Z131" s="4">
        <f>IFERROR(Y131/X131,"")</f>
        <v>0.1695</v>
      </c>
      <c r="AA131" s="1">
        <f>IF(OR(C131="",D131=""),"",D131-C131)</f>
        <v>6</v>
      </c>
      <c r="AB131" s="1">
        <f>IF(C131="","",MONTH(C131))</f>
        <v>7</v>
      </c>
      <c r="AC131" s="1">
        <f>IF(C131="","",YEAR(C131))</f>
        <v>2024</v>
      </c>
      <c r="AD131" s="1" t="s">
        <v>45</v>
      </c>
      <c r="AE131" s="1" t="s">
        <v>46</v>
      </c>
      <c r="AF131" s="1" t="s">
        <v>47</v>
      </c>
    </row>
    <row r="132" spans="1:32" s="15" customFormat="1" x14ac:dyDescent="0.25">
      <c r="A132" s="16">
        <v>132</v>
      </c>
      <c r="B132" s="16" t="s">
        <v>540</v>
      </c>
      <c r="C132" s="17">
        <v>45317.77083333333</v>
      </c>
      <c r="D132" s="17">
        <v>45323.77083333333</v>
      </c>
      <c r="E132" s="16" t="s">
        <v>541</v>
      </c>
      <c r="F132" s="16" t="s">
        <v>70</v>
      </c>
      <c r="G132" s="16" t="s">
        <v>35</v>
      </c>
      <c r="H132" s="16" t="s">
        <v>80</v>
      </c>
      <c r="I132" s="16" t="s">
        <v>206</v>
      </c>
      <c r="J132" s="16" t="s">
        <v>207</v>
      </c>
      <c r="K132" s="16" t="s">
        <v>39</v>
      </c>
      <c r="L132" s="16" t="s">
        <v>110</v>
      </c>
      <c r="M132" s="16" t="s">
        <v>542</v>
      </c>
      <c r="N132" s="16" t="s">
        <v>58</v>
      </c>
      <c r="O132" s="16">
        <v>5</v>
      </c>
      <c r="P132" s="18">
        <v>218.42</v>
      </c>
      <c r="Q132" s="19">
        <v>0.2</v>
      </c>
      <c r="R132" s="19">
        <v>0.2</v>
      </c>
      <c r="S132" s="18">
        <v>873.68</v>
      </c>
      <c r="T132" s="18">
        <v>661.72</v>
      </c>
      <c r="U132" s="18">
        <v>211.96</v>
      </c>
      <c r="V132" s="16" t="s">
        <v>131</v>
      </c>
      <c r="W132" s="16" t="s">
        <v>85</v>
      </c>
      <c r="X132" s="18">
        <f>IF(OR(O132="",P132="",R132=""),"",O132*P132*(1-R132))</f>
        <v>873.68</v>
      </c>
      <c r="Y132" s="18">
        <f>IF(OR(X132="",T132=""),"",X132-T132)</f>
        <v>211.96</v>
      </c>
      <c r="Z132" s="19">
        <f>IFERROR(Y132/X132,"")</f>
        <v>0.2426</v>
      </c>
      <c r="AA132" s="16">
        <f>IF(OR(C132="",D132=""),"",D132-C132)</f>
        <v>6</v>
      </c>
      <c r="AB132" s="16">
        <f>IF(C132="","",MONTH(C132))</f>
        <v>1</v>
      </c>
      <c r="AC132" s="16">
        <f>IF(C132="","",YEAR(C132))</f>
        <v>2024</v>
      </c>
      <c r="AD132" s="16" t="s">
        <v>86</v>
      </c>
      <c r="AE132" s="16" t="s">
        <v>66</v>
      </c>
      <c r="AF132" s="16" t="s">
        <v>255</v>
      </c>
    </row>
    <row r="133" spans="1:32" x14ac:dyDescent="0.25">
      <c r="A133" s="1">
        <v>133</v>
      </c>
      <c r="B133" s="1" t="s">
        <v>543</v>
      </c>
      <c r="C133" s="2">
        <v>45928.77083333333</v>
      </c>
      <c r="D133" s="2">
        <v>45933.77083333333</v>
      </c>
      <c r="E133" s="1" t="s">
        <v>544</v>
      </c>
      <c r="F133" s="1" t="s">
        <v>79</v>
      </c>
      <c r="G133" s="1" t="s">
        <v>114</v>
      </c>
      <c r="H133" s="1" t="s">
        <v>52</v>
      </c>
      <c r="I133" s="1" t="s">
        <v>258</v>
      </c>
      <c r="J133" s="1" t="s">
        <v>259</v>
      </c>
      <c r="K133" s="1" t="s">
        <v>39</v>
      </c>
      <c r="L133" s="1" t="s">
        <v>40</v>
      </c>
      <c r="M133" s="1" t="s">
        <v>545</v>
      </c>
      <c r="N133" s="1" t="s">
        <v>58</v>
      </c>
      <c r="O133" s="1">
        <v>9</v>
      </c>
      <c r="P133" s="3">
        <v>373.91</v>
      </c>
      <c r="Q133" s="4">
        <v>0.2</v>
      </c>
      <c r="R133" s="4">
        <v>0.2</v>
      </c>
      <c r="S133" s="3">
        <v>2692.15</v>
      </c>
      <c r="T133" s="3">
        <v>2044.49</v>
      </c>
      <c r="U133" s="3">
        <v>647.66</v>
      </c>
      <c r="V133" s="1" t="s">
        <v>43</v>
      </c>
      <c r="W133" s="1" t="s">
        <v>44</v>
      </c>
      <c r="X133" s="3">
        <f>IF(OR(O133="",P133="",R133=""),"",O133*P133*(1-R133))</f>
        <v>2692.15</v>
      </c>
      <c r="Y133" s="3">
        <f>IF(OR(X133="",T133=""),"",X133-T133)</f>
        <v>647.66</v>
      </c>
      <c r="Z133" s="4">
        <f>IFERROR(Y133/X133,"")</f>
        <v>0.2406</v>
      </c>
      <c r="AA133" s="1">
        <f>IF(OR(C133="",D133=""),"",D133-C133)</f>
        <v>5</v>
      </c>
      <c r="AB133" s="1">
        <f>IF(C133="","",MONTH(C133))</f>
        <v>9</v>
      </c>
      <c r="AC133" s="1">
        <f>IF(C133="","",YEAR(C133))</f>
        <v>2025</v>
      </c>
      <c r="AD133" s="1" t="s">
        <v>45</v>
      </c>
      <c r="AE133" s="1" t="s">
        <v>46</v>
      </c>
      <c r="AF133" s="1" t="s">
        <v>47</v>
      </c>
    </row>
    <row r="134" spans="1:32" s="15" customFormat="1" x14ac:dyDescent="0.25">
      <c r="A134" s="16">
        <v>134</v>
      </c>
      <c r="B134" s="16" t="s">
        <v>546</v>
      </c>
      <c r="C134" s="17">
        <v>45599.77083333333</v>
      </c>
      <c r="D134" s="17">
        <v>45599.77083333333</v>
      </c>
      <c r="E134" s="16" t="s">
        <v>547</v>
      </c>
      <c r="F134" s="16" t="s">
        <v>294</v>
      </c>
      <c r="G134" s="16" t="s">
        <v>109</v>
      </c>
      <c r="H134" s="16" t="s">
        <v>52</v>
      </c>
      <c r="I134" s="16" t="s">
        <v>191</v>
      </c>
      <c r="J134" s="16" t="s">
        <v>192</v>
      </c>
      <c r="K134" s="16" t="s">
        <v>93</v>
      </c>
      <c r="L134" s="16" t="s">
        <v>305</v>
      </c>
      <c r="M134" s="16" t="s">
        <v>548</v>
      </c>
      <c r="N134" s="16" t="s">
        <v>64</v>
      </c>
      <c r="O134" s="16">
        <v>2</v>
      </c>
      <c r="P134" s="18">
        <v>533.08</v>
      </c>
      <c r="Q134" s="19">
        <v>0</v>
      </c>
      <c r="R134" s="19">
        <v>0</v>
      </c>
      <c r="S134" s="18">
        <v>1066.16</v>
      </c>
      <c r="T134" s="18">
        <v>656.3</v>
      </c>
      <c r="U134" s="18">
        <v>409.86</v>
      </c>
      <c r="V134" s="16" t="s">
        <v>178</v>
      </c>
      <c r="W134" s="16" t="s">
        <v>85</v>
      </c>
      <c r="X134" s="18">
        <f>IF(OR(O134="",P134="",R134=""),"",O134*P134*(1-R134))</f>
        <v>1066.16</v>
      </c>
      <c r="Y134" s="18">
        <f>IF(OR(X134="",T134=""),"",X134-T134)</f>
        <v>409.86</v>
      </c>
      <c r="Z134" s="19">
        <f>IFERROR(Y134/X134,"")</f>
        <v>0.3844</v>
      </c>
      <c r="AA134" s="16">
        <f>IF(OR(C134="",D134=""),"",D134-C134)</f>
        <v>0</v>
      </c>
      <c r="AB134" s="16">
        <f>IF(C134="","",MONTH(C134))</f>
        <v>11</v>
      </c>
      <c r="AC134" s="16">
        <f>IF(C134="","",YEAR(C134))</f>
        <v>2024</v>
      </c>
      <c r="AD134" s="16" t="s">
        <v>86</v>
      </c>
      <c r="AE134" s="16" t="s">
        <v>66</v>
      </c>
      <c r="AF134" s="16" t="s">
        <v>296</v>
      </c>
    </row>
    <row r="135" spans="1:32" x14ac:dyDescent="0.25">
      <c r="A135" s="1">
        <v>135</v>
      </c>
      <c r="B135" s="1" t="s">
        <v>549</v>
      </c>
      <c r="C135" s="2">
        <v>45638.77083333333</v>
      </c>
      <c r="D135" s="2">
        <v>45643.77083333333</v>
      </c>
      <c r="E135" s="1" t="s">
        <v>550</v>
      </c>
      <c r="F135" s="1" t="s">
        <v>34</v>
      </c>
      <c r="G135" s="1" t="s">
        <v>35</v>
      </c>
      <c r="H135" s="1" t="s">
        <v>80</v>
      </c>
      <c r="I135" s="1" t="s">
        <v>216</v>
      </c>
      <c r="J135" s="1" t="s">
        <v>217</v>
      </c>
      <c r="K135" s="1" t="s">
        <v>93</v>
      </c>
      <c r="L135" s="1" t="s">
        <v>196</v>
      </c>
      <c r="M135" s="1" t="s">
        <v>551</v>
      </c>
      <c r="N135" s="1" t="s">
        <v>42</v>
      </c>
      <c r="O135" s="1">
        <v>8</v>
      </c>
      <c r="P135" s="3">
        <v>3372.15</v>
      </c>
      <c r="Q135" s="4">
        <v>0.15</v>
      </c>
      <c r="R135" s="4">
        <v>0.15</v>
      </c>
      <c r="S135" s="3">
        <v>22930.62</v>
      </c>
      <c r="T135" s="3">
        <v>16875.55</v>
      </c>
      <c r="U135" s="3">
        <v>6055.07</v>
      </c>
      <c r="V135" s="1" t="s">
        <v>43</v>
      </c>
      <c r="W135" s="1" t="s">
        <v>44</v>
      </c>
      <c r="X135" s="3">
        <f>IF(OR(O135="",P135="",R135=""),"",O135*P135*(1-R135))</f>
        <v>22930.62</v>
      </c>
      <c r="Y135" s="3">
        <f>IF(OR(X135="",T135=""),"",X135-T135)</f>
        <v>6055.07</v>
      </c>
      <c r="Z135" s="4">
        <f>IFERROR(Y135/X135,"")</f>
        <v>0.2641</v>
      </c>
      <c r="AA135" s="1">
        <f>IF(OR(C135="",D135=""),"",D135-C135)</f>
        <v>5</v>
      </c>
      <c r="AB135" s="1">
        <f>IF(C135="","",MONTH(C135))</f>
        <v>12</v>
      </c>
      <c r="AC135" s="1">
        <f>IF(C135="","",YEAR(C135))</f>
        <v>2024</v>
      </c>
      <c r="AD135" s="1" t="s">
        <v>45</v>
      </c>
      <c r="AE135" s="1" t="s">
        <v>46</v>
      </c>
      <c r="AF135" s="1" t="s">
        <v>47</v>
      </c>
    </row>
    <row r="136" spans="1:32" s="15" customFormat="1" x14ac:dyDescent="0.25">
      <c r="A136" s="16">
        <v>136</v>
      </c>
      <c r="B136" s="16" t="s">
        <v>552</v>
      </c>
      <c r="C136" s="17">
        <v>45851.77083333333</v>
      </c>
      <c r="D136" s="17">
        <v>45851.77083333333</v>
      </c>
      <c r="E136" s="16" t="s">
        <v>553</v>
      </c>
      <c r="F136" s="16" t="s">
        <v>90</v>
      </c>
      <c r="G136" s="16" t="s">
        <v>114</v>
      </c>
      <c r="H136" s="16" t="s">
        <v>52</v>
      </c>
      <c r="I136" s="16" t="s">
        <v>118</v>
      </c>
      <c r="J136" s="16" t="s">
        <v>119</v>
      </c>
      <c r="K136" s="16" t="s">
        <v>55</v>
      </c>
      <c r="L136" s="16" t="s">
        <v>182</v>
      </c>
      <c r="M136" s="16" t="s">
        <v>554</v>
      </c>
      <c r="N136" s="16" t="s">
        <v>232</v>
      </c>
      <c r="O136" s="16">
        <v>5</v>
      </c>
      <c r="P136" s="18">
        <v>383.1</v>
      </c>
      <c r="Q136" s="19">
        <v>0.25</v>
      </c>
      <c r="R136" s="19">
        <v>0.25</v>
      </c>
      <c r="S136" s="18">
        <v>1436.62</v>
      </c>
      <c r="T136" s="18">
        <v>912.52</v>
      </c>
      <c r="U136" s="18">
        <v>524.1</v>
      </c>
      <c r="V136" s="16" t="s">
        <v>131</v>
      </c>
      <c r="W136" s="16" t="s">
        <v>85</v>
      </c>
      <c r="X136" s="18">
        <f>IF(OR(O136="",P136="",R136=""),"",O136*P136*(1-R136))</f>
        <v>1436.63</v>
      </c>
      <c r="Y136" s="18">
        <f>IF(OR(X136="",T136=""),"",X136-T136)</f>
        <v>524.11</v>
      </c>
      <c r="Z136" s="19">
        <f>IFERROR(Y136/X136,"")</f>
        <v>0.3648</v>
      </c>
      <c r="AA136" s="16">
        <f>IF(OR(C136="",D136=""),"",D136-C136)</f>
        <v>0</v>
      </c>
      <c r="AB136" s="16">
        <f>IF(C136="","",MONTH(C136))</f>
        <v>7</v>
      </c>
      <c r="AC136" s="16">
        <f>IF(C136="","",YEAR(C136))</f>
        <v>2025</v>
      </c>
      <c r="AD136" s="16" t="s">
        <v>86</v>
      </c>
      <c r="AE136" s="16" t="s">
        <v>66</v>
      </c>
      <c r="AF136" s="16" t="s">
        <v>555</v>
      </c>
    </row>
    <row r="137" spans="1:32" x14ac:dyDescent="0.25">
      <c r="A137" s="1">
        <v>137</v>
      </c>
      <c r="B137" s="1" t="s">
        <v>556</v>
      </c>
      <c r="C137" s="2">
        <v>45892.77083333333</v>
      </c>
      <c r="D137" s="2">
        <v>45892.77083333333</v>
      </c>
      <c r="E137" s="1" t="s">
        <v>557</v>
      </c>
      <c r="F137" s="1" t="s">
        <v>186</v>
      </c>
      <c r="G137" s="1" t="s">
        <v>51</v>
      </c>
      <c r="H137" s="1" t="s">
        <v>71</v>
      </c>
      <c r="I137" s="1" t="s">
        <v>211</v>
      </c>
      <c r="J137" s="1" t="s">
        <v>212</v>
      </c>
      <c r="K137" s="1" t="s">
        <v>55</v>
      </c>
      <c r="L137" s="1" t="s">
        <v>182</v>
      </c>
      <c r="M137" s="1" t="s">
        <v>558</v>
      </c>
      <c r="N137" s="1" t="s">
        <v>76</v>
      </c>
      <c r="O137" s="1">
        <v>1</v>
      </c>
      <c r="P137" s="3">
        <v>3424.78</v>
      </c>
      <c r="Q137" s="4">
        <v>0</v>
      </c>
      <c r="R137" s="4">
        <v>0</v>
      </c>
      <c r="S137" s="3">
        <v>3424.78</v>
      </c>
      <c r="T137" s="3">
        <v>1951.45</v>
      </c>
      <c r="U137" s="3">
        <v>1473.33</v>
      </c>
      <c r="V137" s="1" t="s">
        <v>43</v>
      </c>
      <c r="W137" s="1" t="s">
        <v>44</v>
      </c>
      <c r="X137" s="3">
        <f>IF(OR(O137="",P137="",R137=""),"",O137*P137*(1-R137))</f>
        <v>3424.78</v>
      </c>
      <c r="Y137" s="3">
        <f>IF(OR(X137="",T137=""),"",X137-T137)</f>
        <v>1473.33</v>
      </c>
      <c r="Z137" s="4">
        <f>IFERROR(Y137/X137,"")</f>
        <v>0.4302</v>
      </c>
      <c r="AA137" s="1">
        <f>IF(OR(C137="",D137=""),"",D137-C137)</f>
        <v>0</v>
      </c>
      <c r="AB137" s="1">
        <f>IF(C137="","",MONTH(C137))</f>
        <v>8</v>
      </c>
      <c r="AC137" s="1">
        <f>IF(C137="","",YEAR(C137))</f>
        <v>2025</v>
      </c>
      <c r="AD137" s="1" t="s">
        <v>45</v>
      </c>
      <c r="AE137" s="1" t="s">
        <v>46</v>
      </c>
      <c r="AF137" s="1" t="s">
        <v>47</v>
      </c>
    </row>
    <row r="138" spans="1:32" x14ac:dyDescent="0.25">
      <c r="A138" s="1">
        <v>138</v>
      </c>
      <c r="B138" s="1" t="s">
        <v>559</v>
      </c>
      <c r="C138" s="2">
        <v>45696.77083333333</v>
      </c>
      <c r="D138" s="2">
        <v>45702.77083333333</v>
      </c>
      <c r="E138" s="1" t="s">
        <v>560</v>
      </c>
      <c r="F138" s="1" t="s">
        <v>50</v>
      </c>
      <c r="G138" s="1" t="s">
        <v>114</v>
      </c>
      <c r="H138" s="1" t="s">
        <v>52</v>
      </c>
      <c r="I138" s="1" t="s">
        <v>258</v>
      </c>
      <c r="J138" s="1" t="s">
        <v>259</v>
      </c>
      <c r="K138" s="1" t="s">
        <v>39</v>
      </c>
      <c r="L138" s="1" t="s">
        <v>176</v>
      </c>
      <c r="M138" s="1" t="s">
        <v>561</v>
      </c>
      <c r="N138" s="1" t="s">
        <v>76</v>
      </c>
      <c r="O138" s="1">
        <v>9</v>
      </c>
      <c r="P138" s="3">
        <v>4330.33</v>
      </c>
      <c r="Q138" s="4">
        <v>0.2</v>
      </c>
      <c r="R138" s="4">
        <v>0.2</v>
      </c>
      <c r="S138" s="3">
        <v>31178.38</v>
      </c>
      <c r="T138" s="3">
        <v>21421.09</v>
      </c>
      <c r="U138" s="3">
        <v>9757.29</v>
      </c>
      <c r="V138" s="1" t="s">
        <v>43</v>
      </c>
      <c r="W138" s="1" t="s">
        <v>44</v>
      </c>
      <c r="X138" s="3">
        <f>IF(OR(O138="",P138="",R138=""),"",O138*P138*(1-R138))</f>
        <v>31178.38</v>
      </c>
      <c r="Y138" s="3">
        <f>IF(OR(X138="",T138=""),"",X138-T138)</f>
        <v>9757.29</v>
      </c>
      <c r="Z138" s="4">
        <f>IFERROR(Y138/X138,"")</f>
        <v>0.313</v>
      </c>
      <c r="AA138" s="1">
        <f>IF(OR(C138="",D138=""),"",D138-C138)</f>
        <v>6</v>
      </c>
      <c r="AB138" s="1">
        <f>IF(C138="","",MONTH(C138))</f>
        <v>2</v>
      </c>
      <c r="AC138" s="1">
        <f>IF(C138="","",YEAR(C138))</f>
        <v>2025</v>
      </c>
      <c r="AD138" s="1" t="s">
        <v>45</v>
      </c>
      <c r="AE138" s="1" t="s">
        <v>46</v>
      </c>
      <c r="AF138" s="1" t="s">
        <v>47</v>
      </c>
    </row>
    <row r="139" spans="1:32" x14ac:dyDescent="0.25">
      <c r="A139" s="1">
        <v>139</v>
      </c>
      <c r="B139" s="1" t="s">
        <v>562</v>
      </c>
      <c r="C139" s="2">
        <v>45665.77083333333</v>
      </c>
      <c r="D139" s="2">
        <v>45665.77083333333</v>
      </c>
      <c r="E139" s="1" t="s">
        <v>563</v>
      </c>
      <c r="F139" s="1" t="s">
        <v>153</v>
      </c>
      <c r="G139" s="1" t="s">
        <v>51</v>
      </c>
      <c r="H139" s="1" t="s">
        <v>36</v>
      </c>
      <c r="I139" s="1" t="s">
        <v>37</v>
      </c>
      <c r="J139" s="1" t="s">
        <v>38</v>
      </c>
      <c r="K139" s="1" t="s">
        <v>55</v>
      </c>
      <c r="L139" s="1" t="s">
        <v>83</v>
      </c>
      <c r="M139" s="1" t="s">
        <v>564</v>
      </c>
      <c r="N139" s="1" t="s">
        <v>58</v>
      </c>
      <c r="O139" s="1">
        <v>8</v>
      </c>
      <c r="P139" s="3">
        <v>2667.07</v>
      </c>
      <c r="Q139" s="4">
        <v>0.1</v>
      </c>
      <c r="R139" s="4">
        <v>0.1</v>
      </c>
      <c r="S139" s="3">
        <v>19202.9</v>
      </c>
      <c r="T139" s="3">
        <v>15526.62</v>
      </c>
      <c r="U139" s="3">
        <v>3676.28</v>
      </c>
      <c r="V139" s="1" t="s">
        <v>43</v>
      </c>
      <c r="W139" s="1" t="s">
        <v>44</v>
      </c>
      <c r="X139" s="3">
        <f>IF(OR(O139="",P139="",R139=""),"",O139*P139*(1-R139))</f>
        <v>19202.9</v>
      </c>
      <c r="Y139" s="3">
        <f>IF(OR(X139="",T139=""),"",X139-T139)</f>
        <v>3676.28</v>
      </c>
      <c r="Z139" s="4">
        <f>IFERROR(Y139/X139,"")</f>
        <v>0.1914</v>
      </c>
      <c r="AA139" s="1">
        <f>IF(OR(C139="",D139=""),"",D139-C139)</f>
        <v>0</v>
      </c>
      <c r="AB139" s="1">
        <f>IF(C139="","",MONTH(C139))</f>
        <v>1</v>
      </c>
      <c r="AC139" s="1">
        <f>IF(C139="","",YEAR(C139))</f>
        <v>2025</v>
      </c>
      <c r="AD139" s="1" t="s">
        <v>45</v>
      </c>
      <c r="AE139" s="1" t="s">
        <v>46</v>
      </c>
      <c r="AF139" s="1" t="s">
        <v>47</v>
      </c>
    </row>
    <row r="140" spans="1:32" x14ac:dyDescent="0.25">
      <c r="A140" s="1">
        <v>140</v>
      </c>
      <c r="B140" s="1" t="s">
        <v>565</v>
      </c>
      <c r="C140" s="2">
        <v>45310.77083333333</v>
      </c>
      <c r="D140" s="2">
        <v>45316.77083333333</v>
      </c>
      <c r="E140" s="1" t="s">
        <v>566</v>
      </c>
      <c r="F140" s="1" t="s">
        <v>186</v>
      </c>
      <c r="G140" s="1" t="s">
        <v>114</v>
      </c>
      <c r="H140" s="1" t="s">
        <v>52</v>
      </c>
      <c r="I140" s="1" t="s">
        <v>258</v>
      </c>
      <c r="J140" s="1" t="s">
        <v>259</v>
      </c>
      <c r="K140" s="1" t="s">
        <v>93</v>
      </c>
      <c r="L140" s="1" t="s">
        <v>305</v>
      </c>
      <c r="M140" s="1" t="s">
        <v>567</v>
      </c>
      <c r="N140" s="1" t="s">
        <v>76</v>
      </c>
      <c r="O140" s="1">
        <v>8</v>
      </c>
      <c r="P140" s="3">
        <v>4003.05</v>
      </c>
      <c r="Q140" s="4">
        <v>0.25</v>
      </c>
      <c r="R140" s="4">
        <v>0.25</v>
      </c>
      <c r="S140" s="3">
        <v>24018.3</v>
      </c>
      <c r="T140" s="3">
        <v>14070.78</v>
      </c>
      <c r="U140" s="3">
        <v>9947.52</v>
      </c>
      <c r="V140" s="1" t="s">
        <v>43</v>
      </c>
      <c r="W140" s="1" t="s">
        <v>44</v>
      </c>
      <c r="X140" s="3">
        <f>IF(OR(O140="",P140="",R140=""),"",O140*P140*(1-R140))</f>
        <v>24018.3</v>
      </c>
      <c r="Y140" s="3">
        <f>IF(OR(X140="",T140=""),"",X140-T140)</f>
        <v>9947.52</v>
      </c>
      <c r="Z140" s="4">
        <f>IFERROR(Y140/X140,"")</f>
        <v>0.4142</v>
      </c>
      <c r="AA140" s="1">
        <f>IF(OR(C140="",D140=""),"",D140-C140)</f>
        <v>6</v>
      </c>
      <c r="AB140" s="1">
        <f>IF(C140="","",MONTH(C140))</f>
        <v>1</v>
      </c>
      <c r="AC140" s="1">
        <f>IF(C140="","",YEAR(C140))</f>
        <v>2024</v>
      </c>
      <c r="AD140" s="1" t="s">
        <v>45</v>
      </c>
      <c r="AE140" s="1" t="s">
        <v>46</v>
      </c>
      <c r="AF140" s="1" t="s">
        <v>47</v>
      </c>
    </row>
    <row r="141" spans="1:32" x14ac:dyDescent="0.25">
      <c r="A141" s="1">
        <v>141</v>
      </c>
      <c r="B141" s="1" t="s">
        <v>568</v>
      </c>
      <c r="C141" s="2">
        <v>45717.77083333333</v>
      </c>
      <c r="D141" s="2">
        <v>45722.77083333333</v>
      </c>
      <c r="E141" s="1" t="s">
        <v>569</v>
      </c>
      <c r="F141" s="1" t="s">
        <v>98</v>
      </c>
      <c r="G141" s="1" t="s">
        <v>114</v>
      </c>
      <c r="H141" s="1" t="s">
        <v>71</v>
      </c>
      <c r="I141" s="1" t="s">
        <v>201</v>
      </c>
      <c r="J141" s="1" t="s">
        <v>202</v>
      </c>
      <c r="K141" s="1" t="s">
        <v>39</v>
      </c>
      <c r="L141" s="1" t="s">
        <v>110</v>
      </c>
      <c r="M141" s="1" t="s">
        <v>570</v>
      </c>
      <c r="N141" s="1" t="s">
        <v>76</v>
      </c>
      <c r="O141" s="1">
        <v>8</v>
      </c>
      <c r="P141" s="3">
        <v>1287.63</v>
      </c>
      <c r="Q141" s="4">
        <v>0</v>
      </c>
      <c r="R141" s="4">
        <v>0</v>
      </c>
      <c r="S141" s="3">
        <v>10301.04</v>
      </c>
      <c r="T141" s="3">
        <v>6564.06</v>
      </c>
      <c r="U141" s="3">
        <v>3736.98</v>
      </c>
      <c r="V141" s="1" t="s">
        <v>43</v>
      </c>
      <c r="W141" s="1" t="s">
        <v>44</v>
      </c>
      <c r="X141" s="3">
        <f>IF(OR(O141="",P141="",R141=""),"",O141*P141*(1-R141))</f>
        <v>10301.04</v>
      </c>
      <c r="Y141" s="3">
        <f>IF(OR(X141="",T141=""),"",X141-T141)</f>
        <v>3736.98</v>
      </c>
      <c r="Z141" s="4">
        <f>IFERROR(Y141/X141,"")</f>
        <v>0.3628</v>
      </c>
      <c r="AA141" s="1">
        <f>IF(OR(C141="",D141=""),"",D141-C141)</f>
        <v>5</v>
      </c>
      <c r="AB141" s="1">
        <f>IF(C141="","",MONTH(C141))</f>
        <v>3</v>
      </c>
      <c r="AC141" s="1">
        <f>IF(C141="","",YEAR(C141))</f>
        <v>2025</v>
      </c>
      <c r="AD141" s="1" t="s">
        <v>45</v>
      </c>
      <c r="AE141" s="1" t="s">
        <v>46</v>
      </c>
      <c r="AF141" s="1" t="s">
        <v>47</v>
      </c>
    </row>
    <row r="142" spans="1:32" x14ac:dyDescent="0.25">
      <c r="A142" s="1">
        <v>142</v>
      </c>
      <c r="B142" s="1" t="s">
        <v>571</v>
      </c>
      <c r="C142" s="2">
        <v>45442.77083333333</v>
      </c>
      <c r="D142" s="2">
        <v>45443.77083333333</v>
      </c>
      <c r="E142" s="1" t="s">
        <v>572</v>
      </c>
      <c r="F142" s="1" t="s">
        <v>50</v>
      </c>
      <c r="G142" s="1" t="s">
        <v>109</v>
      </c>
      <c r="H142" s="1" t="s">
        <v>71</v>
      </c>
      <c r="I142" s="1" t="s">
        <v>201</v>
      </c>
      <c r="J142" s="1" t="s">
        <v>202</v>
      </c>
      <c r="K142" s="1" t="s">
        <v>55</v>
      </c>
      <c r="L142" s="1" t="s">
        <v>182</v>
      </c>
      <c r="M142" s="1" t="s">
        <v>573</v>
      </c>
      <c r="N142" s="1" t="s">
        <v>58</v>
      </c>
      <c r="O142" s="1">
        <v>3</v>
      </c>
      <c r="P142" s="3">
        <v>2914.55</v>
      </c>
      <c r="Q142" s="4">
        <v>0</v>
      </c>
      <c r="R142" s="4">
        <v>0</v>
      </c>
      <c r="S142" s="3">
        <v>8743.65</v>
      </c>
      <c r="T142" s="3">
        <v>6603.76</v>
      </c>
      <c r="U142" s="3">
        <v>2139.89</v>
      </c>
      <c r="V142" s="1" t="s">
        <v>43</v>
      </c>
      <c r="W142" s="1" t="s">
        <v>44</v>
      </c>
      <c r="X142" s="3">
        <f>IF(OR(O142="",P142="",R142=""),"",O142*P142*(1-R142))</f>
        <v>8743.65</v>
      </c>
      <c r="Y142" s="3">
        <f>IF(OR(X142="",T142=""),"",X142-T142)</f>
        <v>2139.89</v>
      </c>
      <c r="Z142" s="4">
        <f>IFERROR(Y142/X142,"")</f>
        <v>0.2447</v>
      </c>
      <c r="AA142" s="1">
        <f>IF(OR(C142="",D142=""),"",D142-C142)</f>
        <v>1</v>
      </c>
      <c r="AB142" s="1">
        <f>IF(C142="","",MONTH(C142))</f>
        <v>5</v>
      </c>
      <c r="AC142" s="1">
        <f>IF(C142="","",YEAR(C142))</f>
        <v>2024</v>
      </c>
      <c r="AD142" s="1" t="s">
        <v>45</v>
      </c>
      <c r="AE142" s="1" t="s">
        <v>46</v>
      </c>
      <c r="AF142" s="1" t="s">
        <v>47</v>
      </c>
    </row>
    <row r="143" spans="1:32" s="15" customFormat="1" x14ac:dyDescent="0.25">
      <c r="A143" s="16">
        <v>143</v>
      </c>
      <c r="B143" s="16" t="s">
        <v>574</v>
      </c>
      <c r="C143" s="17">
        <v>45373.77083333333</v>
      </c>
      <c r="D143" s="17">
        <v>45379.77083333333</v>
      </c>
      <c r="E143" s="16" t="s">
        <v>575</v>
      </c>
      <c r="F143" s="16" t="s">
        <v>135</v>
      </c>
      <c r="G143" s="16" t="s">
        <v>109</v>
      </c>
      <c r="H143" s="16" t="s">
        <v>36</v>
      </c>
      <c r="I143" s="16" t="s">
        <v>384</v>
      </c>
      <c r="J143" s="16" t="s">
        <v>385</v>
      </c>
      <c r="K143" s="16" t="s">
        <v>55</v>
      </c>
      <c r="L143" s="16" t="s">
        <v>182</v>
      </c>
      <c r="M143" s="16" t="s">
        <v>576</v>
      </c>
      <c r="N143" s="16" t="s">
        <v>58</v>
      </c>
      <c r="O143" s="16">
        <v>7</v>
      </c>
      <c r="P143" s="18">
        <v>634.29</v>
      </c>
      <c r="Q143" s="19">
        <v>0.1</v>
      </c>
      <c r="R143" s="19">
        <v>0.1</v>
      </c>
      <c r="S143" s="18">
        <v>3996.03</v>
      </c>
      <c r="T143" s="18">
        <v>2859.51</v>
      </c>
      <c r="U143" s="18">
        <v>1136.52</v>
      </c>
      <c r="V143" s="16" t="s">
        <v>43</v>
      </c>
      <c r="W143" s="16" t="s">
        <v>122</v>
      </c>
      <c r="X143" s="18">
        <f>IF(OR(O143="",P143="",R143=""),"",O143*P143*(1-R143))</f>
        <v>3996.03</v>
      </c>
      <c r="Y143" s="18">
        <f>IF(OR(X143="",T143=""),"",X143-T143)</f>
        <v>1136.52</v>
      </c>
      <c r="Z143" s="19">
        <f>IFERROR(Y143/X143,"")</f>
        <v>0.2844</v>
      </c>
      <c r="AA143" s="16">
        <f>IF(OR(C143="",D143=""),"",D143-C143)</f>
        <v>6</v>
      </c>
      <c r="AB143" s="16">
        <f>IF(C143="","",MONTH(C143))</f>
        <v>3</v>
      </c>
      <c r="AC143" s="16">
        <f>IF(C143="","",YEAR(C143))</f>
        <v>2024</v>
      </c>
      <c r="AD143" s="16" t="s">
        <v>86</v>
      </c>
      <c r="AE143" s="16" t="s">
        <v>66</v>
      </c>
      <c r="AF143" s="16" t="s">
        <v>198</v>
      </c>
    </row>
    <row r="144" spans="1:32" s="10" customFormat="1" x14ac:dyDescent="0.25">
      <c r="A144" s="11">
        <v>144</v>
      </c>
      <c r="B144" s="11" t="s">
        <v>577</v>
      </c>
      <c r="C144" s="12">
        <v>45380.77083333333</v>
      </c>
      <c r="D144" s="12">
        <v>45376.77083333333</v>
      </c>
      <c r="E144" s="11" t="s">
        <v>578</v>
      </c>
      <c r="F144" s="11" t="s">
        <v>108</v>
      </c>
      <c r="G144" s="11" t="s">
        <v>114</v>
      </c>
      <c r="H144" s="11" t="s">
        <v>36</v>
      </c>
      <c r="I144" s="11" t="s">
        <v>37</v>
      </c>
      <c r="J144" s="11" t="s">
        <v>38</v>
      </c>
      <c r="K144" s="11" t="s">
        <v>93</v>
      </c>
      <c r="L144" s="11" t="s">
        <v>196</v>
      </c>
      <c r="M144" s="11" t="s">
        <v>579</v>
      </c>
      <c r="N144" s="11" t="s">
        <v>42</v>
      </c>
      <c r="O144" s="11">
        <v>5</v>
      </c>
      <c r="P144" s="13">
        <v>907.54</v>
      </c>
      <c r="Q144" s="14">
        <v>0.15</v>
      </c>
      <c r="R144" s="14">
        <v>0.15</v>
      </c>
      <c r="S144" s="13">
        <v>3857.04</v>
      </c>
      <c r="T144" s="13">
        <v>2769.26</v>
      </c>
      <c r="U144" s="13">
        <v>1087.78</v>
      </c>
      <c r="V144" s="11" t="s">
        <v>43</v>
      </c>
      <c r="W144" s="11" t="s">
        <v>44</v>
      </c>
      <c r="X144" s="13">
        <f>IF(OR(O144="",P144="",R144=""),"",O144*P144*(1-R144))</f>
        <v>3857.04</v>
      </c>
      <c r="Y144" s="13">
        <f>IF(OR(X144="",T144=""),"",X144-T144)</f>
        <v>1087.78</v>
      </c>
      <c r="Z144" s="14">
        <f>IFERROR(Y144/X144,"")</f>
        <v>0.282</v>
      </c>
      <c r="AA144" s="11">
        <f>IF(OR(C144="",D144=""),"",D144-C144)</f>
        <v>-4</v>
      </c>
      <c r="AB144" s="11">
        <f>IF(C144="","",MONTH(C144))</f>
        <v>3</v>
      </c>
      <c r="AC144" s="11">
        <f>IF(C144="","",YEAR(C144))</f>
        <v>2024</v>
      </c>
      <c r="AD144" s="11" t="s">
        <v>65</v>
      </c>
      <c r="AE144" s="11" t="s">
        <v>66</v>
      </c>
      <c r="AF144" s="11" t="s">
        <v>580</v>
      </c>
    </row>
    <row r="145" spans="1:32" s="15" customFormat="1" x14ac:dyDescent="0.25">
      <c r="A145" s="16">
        <v>145</v>
      </c>
      <c r="B145" s="16" t="s">
        <v>581</v>
      </c>
      <c r="C145" s="17">
        <v>45374.77083333333</v>
      </c>
      <c r="D145" s="17">
        <v>45376.77083333333</v>
      </c>
      <c r="E145" s="16" t="s">
        <v>582</v>
      </c>
      <c r="F145" s="16" t="s">
        <v>135</v>
      </c>
      <c r="G145" s="16" t="s">
        <v>35</v>
      </c>
      <c r="H145" s="16" t="s">
        <v>80</v>
      </c>
      <c r="I145" s="16" t="s">
        <v>206</v>
      </c>
      <c r="J145" s="16" t="s">
        <v>207</v>
      </c>
      <c r="K145" s="16" t="s">
        <v>39</v>
      </c>
      <c r="L145" s="16" t="s">
        <v>40</v>
      </c>
      <c r="M145" s="16" t="s">
        <v>583</v>
      </c>
      <c r="N145" s="16" t="s">
        <v>42</v>
      </c>
      <c r="O145" s="16">
        <v>1</v>
      </c>
      <c r="P145" s="18">
        <v>3409.5</v>
      </c>
      <c r="Q145" s="19">
        <v>0.1</v>
      </c>
      <c r="R145" s="19">
        <v>0.1</v>
      </c>
      <c r="S145" s="18">
        <v>3068.55</v>
      </c>
      <c r="T145" s="18">
        <v>1916.16</v>
      </c>
      <c r="U145" s="18">
        <v>1152.39</v>
      </c>
      <c r="V145" s="16" t="s">
        <v>43</v>
      </c>
      <c r="W145" s="16" t="s">
        <v>122</v>
      </c>
      <c r="X145" s="18">
        <f>IF(OR(O145="",P145="",R145=""),"",O145*P145*(1-R145))</f>
        <v>3068.55</v>
      </c>
      <c r="Y145" s="18">
        <f>IF(OR(X145="",T145=""),"",X145-T145)</f>
        <v>1152.39</v>
      </c>
      <c r="Z145" s="19">
        <f>IFERROR(Y145/X145,"")</f>
        <v>0.3755</v>
      </c>
      <c r="AA145" s="16">
        <f>IF(OR(C145="",D145=""),"",D145-C145)</f>
        <v>2</v>
      </c>
      <c r="AB145" s="16">
        <f>IF(C145="","",MONTH(C145))</f>
        <v>3</v>
      </c>
      <c r="AC145" s="16">
        <f>IF(C145="","",YEAR(C145))</f>
        <v>2024</v>
      </c>
      <c r="AD145" s="16" t="s">
        <v>86</v>
      </c>
      <c r="AE145" s="16" t="s">
        <v>66</v>
      </c>
      <c r="AF145" s="16" t="s">
        <v>198</v>
      </c>
    </row>
    <row r="146" spans="1:32" s="15" customFormat="1" x14ac:dyDescent="0.25">
      <c r="A146" s="16">
        <v>146</v>
      </c>
      <c r="B146" s="16" t="s">
        <v>584</v>
      </c>
      <c r="C146" s="17">
        <v>45449.77083333333</v>
      </c>
      <c r="D146" s="17">
        <v>45457.77083333333</v>
      </c>
      <c r="E146" s="16" t="s">
        <v>585</v>
      </c>
      <c r="F146" s="16" t="s">
        <v>294</v>
      </c>
      <c r="G146" s="16" t="s">
        <v>51</v>
      </c>
      <c r="H146" s="16" t="s">
        <v>71</v>
      </c>
      <c r="I146" s="16" t="s">
        <v>72</v>
      </c>
      <c r="J146" s="16" t="s">
        <v>73</v>
      </c>
      <c r="K146" s="16" t="s">
        <v>93</v>
      </c>
      <c r="L146" s="16" t="s">
        <v>94</v>
      </c>
      <c r="M146" s="16" t="s">
        <v>586</v>
      </c>
      <c r="N146" s="16" t="s">
        <v>64</v>
      </c>
      <c r="O146" s="16">
        <v>7</v>
      </c>
      <c r="P146" s="18">
        <v>2147.99</v>
      </c>
      <c r="Q146" s="19">
        <v>0.25</v>
      </c>
      <c r="R146" s="19">
        <v>0.25</v>
      </c>
      <c r="S146" s="18">
        <v>11276.95</v>
      </c>
      <c r="T146" s="18">
        <v>6908.76</v>
      </c>
      <c r="U146" s="18">
        <v>4368.19</v>
      </c>
      <c r="V146" s="16" t="s">
        <v>121</v>
      </c>
      <c r="W146" s="16" t="s">
        <v>122</v>
      </c>
      <c r="X146" s="18">
        <f>IF(OR(O146="",P146="",R146=""),"",O146*P146*(1-R146))</f>
        <v>11276.95</v>
      </c>
      <c r="Y146" s="18">
        <f>IF(OR(X146="",T146=""),"",X146-T146)</f>
        <v>4368.19</v>
      </c>
      <c r="Z146" s="19">
        <f>IFERROR(Y146/X146,"")</f>
        <v>0.3874</v>
      </c>
      <c r="AA146" s="16">
        <f>IF(OR(C146="",D146=""),"",D146-C146)</f>
        <v>8</v>
      </c>
      <c r="AB146" s="16">
        <f>IF(C146="","",MONTH(C146))</f>
        <v>6</v>
      </c>
      <c r="AC146" s="16">
        <f>IF(C146="","",YEAR(C146))</f>
        <v>2024</v>
      </c>
      <c r="AD146" s="16" t="s">
        <v>86</v>
      </c>
      <c r="AE146" s="16" t="s">
        <v>66</v>
      </c>
      <c r="AF146" s="16" t="s">
        <v>123</v>
      </c>
    </row>
    <row r="147" spans="1:32" x14ac:dyDescent="0.25">
      <c r="A147" s="1">
        <v>147</v>
      </c>
      <c r="B147" s="1" t="s">
        <v>587</v>
      </c>
      <c r="C147" s="2">
        <v>45757.77083333333</v>
      </c>
      <c r="D147" s="2">
        <v>45759.77083333333</v>
      </c>
      <c r="E147" s="1" t="s">
        <v>588</v>
      </c>
      <c r="F147" s="1" t="s">
        <v>50</v>
      </c>
      <c r="G147" s="1" t="s">
        <v>51</v>
      </c>
      <c r="H147" s="1" t="s">
        <v>80</v>
      </c>
      <c r="I147" s="1" t="s">
        <v>216</v>
      </c>
      <c r="J147" s="1" t="s">
        <v>217</v>
      </c>
      <c r="K147" s="1" t="s">
        <v>39</v>
      </c>
      <c r="L147" s="1" t="s">
        <v>40</v>
      </c>
      <c r="M147" s="1" t="s">
        <v>589</v>
      </c>
      <c r="N147" s="1" t="s">
        <v>76</v>
      </c>
      <c r="O147" s="1">
        <v>4</v>
      </c>
      <c r="P147" s="3">
        <v>4182.15</v>
      </c>
      <c r="Q147" s="4">
        <v>0.1</v>
      </c>
      <c r="R147" s="4">
        <v>0.1</v>
      </c>
      <c r="S147" s="3">
        <v>15055.74</v>
      </c>
      <c r="T147" s="3">
        <v>9808.83</v>
      </c>
      <c r="U147" s="3">
        <v>5246.91</v>
      </c>
      <c r="V147" s="1" t="s">
        <v>43</v>
      </c>
      <c r="W147" s="1" t="s">
        <v>44</v>
      </c>
      <c r="X147" s="3">
        <f>IF(OR(O147="",P147="",R147=""),"",O147*P147*(1-R147))</f>
        <v>15055.74</v>
      </c>
      <c r="Y147" s="3">
        <f>IF(OR(X147="",T147=""),"",X147-T147)</f>
        <v>5246.91</v>
      </c>
      <c r="Z147" s="4">
        <f>IFERROR(Y147/X147,"")</f>
        <v>0.3485</v>
      </c>
      <c r="AA147" s="1">
        <f>IF(OR(C147="",D147=""),"",D147-C147)</f>
        <v>2</v>
      </c>
      <c r="AB147" s="1">
        <f>IF(C147="","",MONTH(C147))</f>
        <v>4</v>
      </c>
      <c r="AC147" s="1">
        <f>IF(C147="","",YEAR(C147))</f>
        <v>2025</v>
      </c>
      <c r="AD147" s="1" t="s">
        <v>45</v>
      </c>
      <c r="AE147" s="1" t="s">
        <v>46</v>
      </c>
      <c r="AF147" s="1" t="s">
        <v>47</v>
      </c>
    </row>
    <row r="148" spans="1:32" x14ac:dyDescent="0.25">
      <c r="A148" s="1">
        <v>148</v>
      </c>
      <c r="B148" s="1" t="s">
        <v>590</v>
      </c>
      <c r="C148" s="2">
        <v>45867.77083333333</v>
      </c>
      <c r="D148" s="2">
        <v>45869.77083333333</v>
      </c>
      <c r="E148" s="1" t="s">
        <v>591</v>
      </c>
      <c r="F148" s="1" t="s">
        <v>153</v>
      </c>
      <c r="G148" s="1" t="s">
        <v>51</v>
      </c>
      <c r="H148" s="1" t="s">
        <v>71</v>
      </c>
      <c r="I148" s="1" t="s">
        <v>277</v>
      </c>
      <c r="J148" s="1" t="s">
        <v>278</v>
      </c>
      <c r="K148" s="1" t="s">
        <v>39</v>
      </c>
      <c r="L148" s="1" t="s">
        <v>145</v>
      </c>
      <c r="M148" s="1" t="s">
        <v>592</v>
      </c>
      <c r="N148" s="1" t="s">
        <v>58</v>
      </c>
      <c r="O148" s="1">
        <v>9</v>
      </c>
      <c r="P148" s="3">
        <v>3165.43</v>
      </c>
      <c r="Q148" s="4">
        <v>0.1</v>
      </c>
      <c r="R148" s="4">
        <v>0.1</v>
      </c>
      <c r="S148" s="3">
        <v>25639.98</v>
      </c>
      <c r="T148" s="3">
        <v>21635.08</v>
      </c>
      <c r="U148" s="3">
        <v>4004.9</v>
      </c>
      <c r="V148" s="1" t="s">
        <v>43</v>
      </c>
      <c r="W148" s="1" t="s">
        <v>44</v>
      </c>
      <c r="X148" s="3">
        <f>IF(OR(O148="",P148="",R148=""),"",O148*P148*(1-R148))</f>
        <v>25639.98</v>
      </c>
      <c r="Y148" s="3">
        <f>IF(OR(X148="",T148=""),"",X148-T148)</f>
        <v>4004.9</v>
      </c>
      <c r="Z148" s="4">
        <f>IFERROR(Y148/X148,"")</f>
        <v>0.1562</v>
      </c>
      <c r="AA148" s="1">
        <f>IF(OR(C148="",D148=""),"",D148-C148)</f>
        <v>2</v>
      </c>
      <c r="AB148" s="1">
        <f>IF(C148="","",MONTH(C148))</f>
        <v>7</v>
      </c>
      <c r="AC148" s="1">
        <f>IF(C148="","",YEAR(C148))</f>
        <v>2025</v>
      </c>
      <c r="AD148" s="1" t="s">
        <v>45</v>
      </c>
      <c r="AE148" s="1" t="s">
        <v>46</v>
      </c>
      <c r="AF148" s="1" t="s">
        <v>47</v>
      </c>
    </row>
    <row r="149" spans="1:32" x14ac:dyDescent="0.25">
      <c r="A149" s="1">
        <v>149</v>
      </c>
      <c r="B149" s="1" t="s">
        <v>593</v>
      </c>
      <c r="C149" s="2">
        <v>45648.77083333333</v>
      </c>
      <c r="D149" s="2">
        <v>45655.77083333333</v>
      </c>
      <c r="E149" s="1" t="s">
        <v>594</v>
      </c>
      <c r="F149" s="1" t="s">
        <v>135</v>
      </c>
      <c r="G149" s="1" t="s">
        <v>114</v>
      </c>
      <c r="H149" s="1" t="s">
        <v>80</v>
      </c>
      <c r="I149" s="1" t="s">
        <v>216</v>
      </c>
      <c r="J149" s="1" t="s">
        <v>217</v>
      </c>
      <c r="K149" s="1" t="s">
        <v>55</v>
      </c>
      <c r="L149" s="1" t="s">
        <v>74</v>
      </c>
      <c r="M149" s="1" t="s">
        <v>595</v>
      </c>
      <c r="N149" s="1" t="s">
        <v>64</v>
      </c>
      <c r="O149" s="1">
        <v>8</v>
      </c>
      <c r="P149" s="3">
        <v>386.1</v>
      </c>
      <c r="Q149" s="4">
        <v>0.1</v>
      </c>
      <c r="R149" s="4">
        <v>0.1</v>
      </c>
      <c r="S149" s="3">
        <v>2779.92</v>
      </c>
      <c r="T149" s="3">
        <v>1744.05</v>
      </c>
      <c r="U149" s="3">
        <v>1035.87</v>
      </c>
      <c r="V149" s="1" t="s">
        <v>43</v>
      </c>
      <c r="W149" s="1" t="s">
        <v>44</v>
      </c>
      <c r="X149" s="3">
        <f>IF(OR(O149="",P149="",R149=""),"",O149*P149*(1-R149))</f>
        <v>2779.92</v>
      </c>
      <c r="Y149" s="3">
        <f>IF(OR(X149="",T149=""),"",X149-T149)</f>
        <v>1035.87</v>
      </c>
      <c r="Z149" s="4">
        <f>IFERROR(Y149/X149,"")</f>
        <v>0.3726</v>
      </c>
      <c r="AA149" s="1">
        <f>IF(OR(C149="",D149=""),"",D149-C149)</f>
        <v>7</v>
      </c>
      <c r="AB149" s="1">
        <f>IF(C149="","",MONTH(C149))</f>
        <v>12</v>
      </c>
      <c r="AC149" s="1">
        <f>IF(C149="","",YEAR(C149))</f>
        <v>2024</v>
      </c>
      <c r="AD149" s="1" t="s">
        <v>45</v>
      </c>
      <c r="AE149" s="1" t="s">
        <v>46</v>
      </c>
      <c r="AF149" s="1" t="s">
        <v>47</v>
      </c>
    </row>
    <row r="150" spans="1:32" s="15" customFormat="1" x14ac:dyDescent="0.25">
      <c r="A150" s="16">
        <v>150</v>
      </c>
      <c r="B150" s="16" t="s">
        <v>596</v>
      </c>
      <c r="C150" s="17">
        <v>45696.77083333333</v>
      </c>
      <c r="D150" s="17">
        <v>45700.77083333333</v>
      </c>
      <c r="E150" s="16" t="s">
        <v>597</v>
      </c>
      <c r="F150" s="16" t="s">
        <v>50</v>
      </c>
      <c r="G150" s="16" t="s">
        <v>114</v>
      </c>
      <c r="H150" s="16" t="s">
        <v>80</v>
      </c>
      <c r="I150" s="16" t="s">
        <v>91</v>
      </c>
      <c r="J150" s="16" t="s">
        <v>92</v>
      </c>
      <c r="K150" s="16" t="s">
        <v>93</v>
      </c>
      <c r="L150" s="16" t="s">
        <v>196</v>
      </c>
      <c r="M150" s="16" t="s">
        <v>598</v>
      </c>
      <c r="N150" s="16" t="s">
        <v>232</v>
      </c>
      <c r="O150" s="16">
        <v>8</v>
      </c>
      <c r="P150" s="18">
        <v>1696.07</v>
      </c>
      <c r="Q150" s="19">
        <v>0.25</v>
      </c>
      <c r="R150" s="19">
        <v>0.25</v>
      </c>
      <c r="S150" s="18">
        <v>10176.42</v>
      </c>
      <c r="T150" s="18">
        <v>7604.47</v>
      </c>
      <c r="U150" s="18">
        <v>2571.95</v>
      </c>
      <c r="V150" s="16" t="s">
        <v>43</v>
      </c>
      <c r="W150" s="16" t="s">
        <v>44</v>
      </c>
      <c r="X150" s="18">
        <f>IF(OR(O150="",P150="",R150=""),"",O150*P150*(1-R150))</f>
        <v>10176.42</v>
      </c>
      <c r="Y150" s="18">
        <f>IF(OR(X150="",T150=""),"",X150-T150)</f>
        <v>2571.95</v>
      </c>
      <c r="Z150" s="19">
        <f>IFERROR(Y150/X150,"")</f>
        <v>0.2527</v>
      </c>
      <c r="AA150" s="16">
        <f>IF(OR(C150="",D150=""),"",D150-C150)</f>
        <v>4</v>
      </c>
      <c r="AB150" s="16">
        <f>IF(C150="","",MONTH(C150))</f>
        <v>2</v>
      </c>
      <c r="AC150" s="16">
        <f>IF(C150="","",YEAR(C150))</f>
        <v>2025</v>
      </c>
      <c r="AD150" s="16" t="s">
        <v>86</v>
      </c>
      <c r="AE150" s="16" t="s">
        <v>46</v>
      </c>
      <c r="AF150" s="16" t="s">
        <v>442</v>
      </c>
    </row>
    <row r="151" spans="1:32" x14ac:dyDescent="0.25">
      <c r="A151" s="1">
        <v>151</v>
      </c>
      <c r="B151" s="1" t="s">
        <v>599</v>
      </c>
      <c r="C151" s="2">
        <v>45320.77083333333</v>
      </c>
      <c r="D151" s="2">
        <v>45320.77083333333</v>
      </c>
      <c r="E151" s="1" t="s">
        <v>600</v>
      </c>
      <c r="F151" s="1" t="s">
        <v>149</v>
      </c>
      <c r="G151" s="1" t="s">
        <v>51</v>
      </c>
      <c r="H151" s="1" t="s">
        <v>80</v>
      </c>
      <c r="I151" s="1" t="s">
        <v>37</v>
      </c>
      <c r="J151" s="1" t="s">
        <v>129</v>
      </c>
      <c r="K151" s="1" t="s">
        <v>93</v>
      </c>
      <c r="L151" s="1" t="s">
        <v>99</v>
      </c>
      <c r="M151" s="1" t="s">
        <v>601</v>
      </c>
      <c r="N151" s="1" t="s">
        <v>58</v>
      </c>
      <c r="O151" s="1">
        <v>7</v>
      </c>
      <c r="P151" s="3">
        <v>2527.61</v>
      </c>
      <c r="Q151" s="4">
        <v>0.25</v>
      </c>
      <c r="R151" s="4">
        <v>0.25</v>
      </c>
      <c r="S151" s="3">
        <v>13269.95</v>
      </c>
      <c r="T151" s="3">
        <v>8977.1</v>
      </c>
      <c r="U151" s="3">
        <v>4292.85</v>
      </c>
      <c r="V151" s="1" t="s">
        <v>43</v>
      </c>
      <c r="W151" s="1" t="s">
        <v>44</v>
      </c>
      <c r="X151" s="3">
        <f>IF(OR(O151="",P151="",R151=""),"",O151*P151*(1-R151))</f>
        <v>13269.95</v>
      </c>
      <c r="Y151" s="3">
        <f>IF(OR(X151="",T151=""),"",X151-T151)</f>
        <v>4292.85</v>
      </c>
      <c r="Z151" s="4">
        <f>IFERROR(Y151/X151,"")</f>
        <v>0.3235</v>
      </c>
      <c r="AA151" s="1">
        <f>IF(OR(C151="",D151=""),"",D151-C151)</f>
        <v>0</v>
      </c>
      <c r="AB151" s="1">
        <f>IF(C151="","",MONTH(C151))</f>
        <v>1</v>
      </c>
      <c r="AC151" s="1">
        <f>IF(C151="","",YEAR(C151))</f>
        <v>2024</v>
      </c>
      <c r="AD151" s="1" t="s">
        <v>45</v>
      </c>
      <c r="AE151" s="1" t="s">
        <v>46</v>
      </c>
      <c r="AF151" s="1" t="s">
        <v>47</v>
      </c>
    </row>
    <row r="152" spans="1:32" s="15" customFormat="1" x14ac:dyDescent="0.25">
      <c r="A152" s="16">
        <v>152</v>
      </c>
      <c r="B152" s="16" t="s">
        <v>602</v>
      </c>
      <c r="C152" s="17">
        <v>45354.77083333333</v>
      </c>
      <c r="D152" s="17">
        <v>45362.77083333333</v>
      </c>
      <c r="E152" s="16" t="s">
        <v>603</v>
      </c>
      <c r="F152" s="16" t="s">
        <v>70</v>
      </c>
      <c r="G152" s="16" t="s">
        <v>35</v>
      </c>
      <c r="H152" s="16" t="s">
        <v>232</v>
      </c>
      <c r="I152" s="16" t="s">
        <v>206</v>
      </c>
      <c r="J152" s="16" t="s">
        <v>207</v>
      </c>
      <c r="K152" s="16" t="s">
        <v>55</v>
      </c>
      <c r="L152" s="16" t="s">
        <v>182</v>
      </c>
      <c r="M152" s="16" t="s">
        <v>604</v>
      </c>
      <c r="N152" s="16" t="s">
        <v>64</v>
      </c>
      <c r="O152" s="16">
        <v>1</v>
      </c>
      <c r="P152" s="18">
        <v>1554.12</v>
      </c>
      <c r="Q152" s="19">
        <v>0.1</v>
      </c>
      <c r="R152" s="19">
        <v>0.1</v>
      </c>
      <c r="S152" s="18">
        <v>1398.71</v>
      </c>
      <c r="T152" s="18">
        <v>1056.92</v>
      </c>
      <c r="U152" s="18">
        <v>341.79</v>
      </c>
      <c r="V152" s="16" t="s">
        <v>43</v>
      </c>
      <c r="W152" s="16" t="s">
        <v>44</v>
      </c>
      <c r="X152" s="18">
        <f>IF(OR(O152="",P152="",R152=""),"",O152*P152*(1-R152))</f>
        <v>1398.71</v>
      </c>
      <c r="Y152" s="18">
        <f>IF(OR(X152="",T152=""),"",X152-T152)</f>
        <v>341.79</v>
      </c>
      <c r="Z152" s="19">
        <f>IFERROR(Y152/X152,"")</f>
        <v>0.2444</v>
      </c>
      <c r="AA152" s="16">
        <f>IF(OR(C152="",D152=""),"",D152-C152)</f>
        <v>8</v>
      </c>
      <c r="AB152" s="16">
        <f>IF(C152="","",MONTH(C152))</f>
        <v>3</v>
      </c>
      <c r="AC152" s="16">
        <f>IF(C152="","",YEAR(C152))</f>
        <v>2024</v>
      </c>
      <c r="AD152" s="16" t="s">
        <v>86</v>
      </c>
      <c r="AE152" s="16" t="s">
        <v>46</v>
      </c>
      <c r="AF152" s="16" t="s">
        <v>487</v>
      </c>
    </row>
    <row r="153" spans="1:32" s="15" customFormat="1" x14ac:dyDescent="0.25">
      <c r="A153" s="16">
        <v>153</v>
      </c>
      <c r="B153" s="16" t="s">
        <v>605</v>
      </c>
      <c r="C153" s="17">
        <v>45469.77083333333</v>
      </c>
      <c r="D153" s="17">
        <v>45469.77083333333</v>
      </c>
      <c r="E153" s="16" t="s">
        <v>606</v>
      </c>
      <c r="F153" s="16" t="s">
        <v>98</v>
      </c>
      <c r="G153" s="16" t="s">
        <v>114</v>
      </c>
      <c r="H153" s="16" t="s">
        <v>232</v>
      </c>
      <c r="I153" s="16" t="s">
        <v>91</v>
      </c>
      <c r="J153" s="16" t="s">
        <v>92</v>
      </c>
      <c r="K153" s="16" t="s">
        <v>93</v>
      </c>
      <c r="L153" s="16" t="s">
        <v>99</v>
      </c>
      <c r="M153" s="16" t="s">
        <v>607</v>
      </c>
      <c r="N153" s="16" t="s">
        <v>76</v>
      </c>
      <c r="O153" s="16">
        <v>2</v>
      </c>
      <c r="P153" s="18">
        <v>3859.11</v>
      </c>
      <c r="Q153" s="19">
        <v>0</v>
      </c>
      <c r="R153" s="19">
        <v>0</v>
      </c>
      <c r="S153" s="18">
        <v>7718.22</v>
      </c>
      <c r="T153" s="18">
        <v>5355.93</v>
      </c>
      <c r="U153" s="18">
        <v>2362.29</v>
      </c>
      <c r="V153" s="16" t="s">
        <v>131</v>
      </c>
      <c r="W153" s="16" t="s">
        <v>122</v>
      </c>
      <c r="X153" s="18">
        <f>IF(OR(O153="",P153="",R153=""),"",O153*P153*(1-R153))</f>
        <v>7718.22</v>
      </c>
      <c r="Y153" s="18">
        <f>IF(OR(X153="",T153=""),"",X153-T153)</f>
        <v>2362.29</v>
      </c>
      <c r="Z153" s="19">
        <f>IFERROR(Y153/X153,"")</f>
        <v>0.3061</v>
      </c>
      <c r="AA153" s="16">
        <f>IF(OR(C153="",D153=""),"",D153-C153)</f>
        <v>0</v>
      </c>
      <c r="AB153" s="16">
        <f>IF(C153="","",MONTH(C153))</f>
        <v>6</v>
      </c>
      <c r="AC153" s="16">
        <f>IF(C153="","",YEAR(C153))</f>
        <v>2024</v>
      </c>
      <c r="AD153" s="16" t="s">
        <v>86</v>
      </c>
      <c r="AE153" s="16" t="s">
        <v>66</v>
      </c>
      <c r="AF153" s="16" t="s">
        <v>608</v>
      </c>
    </row>
    <row r="154" spans="1:32" s="15" customFormat="1" x14ac:dyDescent="0.25">
      <c r="A154" s="16">
        <v>154</v>
      </c>
      <c r="B154" s="16" t="s">
        <v>609</v>
      </c>
      <c r="C154" s="17">
        <v>45456.77083333333</v>
      </c>
      <c r="D154" s="17">
        <v>45459.77083333333</v>
      </c>
      <c r="E154" s="16" t="s">
        <v>610</v>
      </c>
      <c r="F154" s="16" t="s">
        <v>294</v>
      </c>
      <c r="G154" s="16" t="s">
        <v>51</v>
      </c>
      <c r="H154" s="16" t="s">
        <v>71</v>
      </c>
      <c r="I154" s="16" t="s">
        <v>211</v>
      </c>
      <c r="J154" s="16" t="s">
        <v>212</v>
      </c>
      <c r="K154" s="16" t="s">
        <v>55</v>
      </c>
      <c r="L154" s="16" t="s">
        <v>56</v>
      </c>
      <c r="M154" s="16" t="s">
        <v>611</v>
      </c>
      <c r="N154" s="16" t="s">
        <v>42</v>
      </c>
      <c r="O154" s="16">
        <v>6</v>
      </c>
      <c r="P154" s="18">
        <v>1088.04</v>
      </c>
      <c r="Q154" s="19">
        <v>0.1</v>
      </c>
      <c r="R154" s="19">
        <v>0.1</v>
      </c>
      <c r="S154" s="18">
        <v>5875.42</v>
      </c>
      <c r="T154" s="18">
        <v>4380.55</v>
      </c>
      <c r="U154" s="18">
        <v>1494.87</v>
      </c>
      <c r="V154" s="16" t="s">
        <v>131</v>
      </c>
      <c r="W154" s="16" t="s">
        <v>122</v>
      </c>
      <c r="X154" s="18">
        <f>IF(OR(O154="",P154="",R154=""),"",O154*P154*(1-R154))</f>
        <v>5875.42</v>
      </c>
      <c r="Y154" s="18">
        <f>IF(OR(X154="",T154=""),"",X154-T154)</f>
        <v>1494.87</v>
      </c>
      <c r="Z154" s="19">
        <f>IFERROR(Y154/X154,"")</f>
        <v>0.2544</v>
      </c>
      <c r="AA154" s="16">
        <f>IF(OR(C154="",D154=""),"",D154-C154)</f>
        <v>3</v>
      </c>
      <c r="AB154" s="16">
        <f>IF(C154="","",MONTH(C154))</f>
        <v>6</v>
      </c>
      <c r="AC154" s="16">
        <f>IF(C154="","",YEAR(C154))</f>
        <v>2024</v>
      </c>
      <c r="AD154" s="16" t="s">
        <v>86</v>
      </c>
      <c r="AE154" s="16" t="s">
        <v>66</v>
      </c>
      <c r="AF154" s="16" t="s">
        <v>132</v>
      </c>
    </row>
    <row r="155" spans="1:32" s="15" customFormat="1" x14ac:dyDescent="0.25">
      <c r="A155" s="16">
        <v>155</v>
      </c>
      <c r="B155" s="16" t="s">
        <v>612</v>
      </c>
      <c r="C155" s="17">
        <v>45922.77083333333</v>
      </c>
      <c r="D155" s="17">
        <v>45924.77083333333</v>
      </c>
      <c r="E155" s="16" t="s">
        <v>613</v>
      </c>
      <c r="F155" s="16" t="s">
        <v>108</v>
      </c>
      <c r="G155" s="16" t="s">
        <v>35</v>
      </c>
      <c r="H155" s="16" t="s">
        <v>52</v>
      </c>
      <c r="I155" s="16" t="s">
        <v>53</v>
      </c>
      <c r="J155" s="16" t="s">
        <v>54</v>
      </c>
      <c r="K155" s="16" t="s">
        <v>39</v>
      </c>
      <c r="L155" s="16" t="s">
        <v>110</v>
      </c>
      <c r="M155" s="16" t="s">
        <v>614</v>
      </c>
      <c r="N155" s="16" t="s">
        <v>76</v>
      </c>
      <c r="O155" s="16">
        <v>7</v>
      </c>
      <c r="P155" s="18">
        <v>3280.31</v>
      </c>
      <c r="Q155" s="19">
        <v>0</v>
      </c>
      <c r="R155" s="19">
        <v>0</v>
      </c>
      <c r="S155" s="18">
        <v>22962.17</v>
      </c>
      <c r="T155" s="18">
        <v>15716.5</v>
      </c>
      <c r="U155" s="18">
        <v>7245.67</v>
      </c>
      <c r="V155" s="16" t="s">
        <v>121</v>
      </c>
      <c r="W155" s="16" t="s">
        <v>122</v>
      </c>
      <c r="X155" s="18">
        <f>IF(OR(O155="",P155="",R155=""),"",O155*P155*(1-R155))</f>
        <v>22962.17</v>
      </c>
      <c r="Y155" s="18">
        <f>IF(OR(X155="",T155=""),"",X155-T155)</f>
        <v>7245.67</v>
      </c>
      <c r="Z155" s="19">
        <f>IFERROR(Y155/X155,"")</f>
        <v>0.3155</v>
      </c>
      <c r="AA155" s="16">
        <f>IF(OR(C155="",D155=""),"",D155-C155)</f>
        <v>2</v>
      </c>
      <c r="AB155" s="16">
        <f>IF(C155="","",MONTH(C155))</f>
        <v>9</v>
      </c>
      <c r="AC155" s="16">
        <f>IF(C155="","",YEAR(C155))</f>
        <v>2025</v>
      </c>
      <c r="AD155" s="16" t="s">
        <v>86</v>
      </c>
      <c r="AE155" s="16" t="s">
        <v>66</v>
      </c>
      <c r="AF155" s="16" t="s">
        <v>123</v>
      </c>
    </row>
    <row r="156" spans="1:32" s="10" customFormat="1" x14ac:dyDescent="0.25">
      <c r="A156" s="11">
        <v>156</v>
      </c>
      <c r="B156" s="11" t="s">
        <v>615</v>
      </c>
      <c r="C156" s="12">
        <v>45333.77083333333</v>
      </c>
      <c r="D156" s="12">
        <v>45332.77083333333</v>
      </c>
      <c r="E156" s="11" t="s">
        <v>494</v>
      </c>
      <c r="F156" s="11" t="s">
        <v>135</v>
      </c>
      <c r="G156" s="11" t="s">
        <v>35</v>
      </c>
      <c r="H156" s="11" t="s">
        <v>71</v>
      </c>
      <c r="I156" s="11" t="s">
        <v>277</v>
      </c>
      <c r="J156" s="11" t="s">
        <v>278</v>
      </c>
      <c r="K156" s="11" t="s">
        <v>55</v>
      </c>
      <c r="L156" s="11" t="s">
        <v>182</v>
      </c>
      <c r="M156" s="11" t="s">
        <v>616</v>
      </c>
      <c r="N156" s="11" t="s">
        <v>58</v>
      </c>
      <c r="O156" s="11">
        <v>1</v>
      </c>
      <c r="P156" s="13">
        <v>2599.12</v>
      </c>
      <c r="Q156" s="14">
        <v>0.15</v>
      </c>
      <c r="R156" s="14">
        <v>0.15</v>
      </c>
      <c r="S156" s="13">
        <v>2209.25</v>
      </c>
      <c r="T156" s="13">
        <v>1523.78</v>
      </c>
      <c r="U156" s="13">
        <v>685.47</v>
      </c>
      <c r="V156" s="11" t="s">
        <v>43</v>
      </c>
      <c r="W156" s="11" t="s">
        <v>44</v>
      </c>
      <c r="X156" s="13">
        <f>IF(OR(O156="",P156="",R156=""),"",O156*P156*(1-R156))</f>
        <v>2209.25</v>
      </c>
      <c r="Y156" s="13">
        <f>IF(OR(X156="",T156=""),"",X156-T156)</f>
        <v>685.47</v>
      </c>
      <c r="Z156" s="14">
        <f>IFERROR(Y156/X156,"")</f>
        <v>0.3103</v>
      </c>
      <c r="AA156" s="11">
        <f>IF(OR(C156="",D156=""),"",D156-C156)</f>
        <v>-1</v>
      </c>
      <c r="AB156" s="11">
        <f>IF(C156="","",MONTH(C156))</f>
        <v>2</v>
      </c>
      <c r="AC156" s="11">
        <f>IF(C156="","",YEAR(C156))</f>
        <v>2024</v>
      </c>
      <c r="AD156" s="11" t="s">
        <v>65</v>
      </c>
      <c r="AE156" s="11" t="s">
        <v>66</v>
      </c>
      <c r="AF156" s="11" t="s">
        <v>360</v>
      </c>
    </row>
    <row r="157" spans="1:32" s="15" customFormat="1" x14ac:dyDescent="0.25">
      <c r="A157" s="16">
        <v>157</v>
      </c>
      <c r="B157" s="16" t="s">
        <v>617</v>
      </c>
      <c r="C157" s="17">
        <v>45682.77083333333</v>
      </c>
      <c r="D157" s="17">
        <v>45690.77083333333</v>
      </c>
      <c r="E157" s="16" t="s">
        <v>618</v>
      </c>
      <c r="F157" s="16" t="s">
        <v>34</v>
      </c>
      <c r="G157" s="16" t="s">
        <v>109</v>
      </c>
      <c r="H157" s="16" t="s">
        <v>80</v>
      </c>
      <c r="I157" s="16" t="s">
        <v>37</v>
      </c>
      <c r="J157" s="16" t="s">
        <v>129</v>
      </c>
      <c r="K157" s="16" t="s">
        <v>55</v>
      </c>
      <c r="L157" s="16" t="s">
        <v>74</v>
      </c>
      <c r="M157" s="16" t="s">
        <v>619</v>
      </c>
      <c r="N157" s="16" t="s">
        <v>58</v>
      </c>
      <c r="O157" s="16">
        <v>3</v>
      </c>
      <c r="P157" s="18">
        <v>2859.32</v>
      </c>
      <c r="Q157" s="19">
        <v>0.1</v>
      </c>
      <c r="R157" s="19">
        <v>0.1</v>
      </c>
      <c r="S157" s="18">
        <v>7720.16</v>
      </c>
      <c r="T157" s="18">
        <v>5881</v>
      </c>
      <c r="U157" s="18">
        <v>1839.16</v>
      </c>
      <c r="V157" s="16" t="s">
        <v>121</v>
      </c>
      <c r="W157" s="16" t="s">
        <v>122</v>
      </c>
      <c r="X157" s="18">
        <f>IF(OR(O157="",P157="",R157=""),"",O157*P157*(1-R157))</f>
        <v>7720.16</v>
      </c>
      <c r="Y157" s="18">
        <f>IF(OR(X157="",T157=""),"",X157-T157)</f>
        <v>1839.16</v>
      </c>
      <c r="Z157" s="19">
        <f>IFERROR(Y157/X157,"")</f>
        <v>0.2382</v>
      </c>
      <c r="AA157" s="16">
        <f>IF(OR(C157="",D157=""),"",D157-C157)</f>
        <v>8</v>
      </c>
      <c r="AB157" s="16">
        <f>IF(C157="","",MONTH(C157))</f>
        <v>1</v>
      </c>
      <c r="AC157" s="16">
        <f>IF(C157="","",YEAR(C157))</f>
        <v>2025</v>
      </c>
      <c r="AD157" s="16" t="s">
        <v>86</v>
      </c>
      <c r="AE157" s="16" t="s">
        <v>66</v>
      </c>
      <c r="AF157" s="16" t="s">
        <v>123</v>
      </c>
    </row>
    <row r="158" spans="1:32" x14ac:dyDescent="0.25">
      <c r="A158" s="1">
        <v>158</v>
      </c>
      <c r="B158" s="1" t="s">
        <v>620</v>
      </c>
      <c r="C158" s="2">
        <v>45742.77083333333</v>
      </c>
      <c r="D158" s="2">
        <v>45742.77083333333</v>
      </c>
      <c r="E158" s="1" t="s">
        <v>621</v>
      </c>
      <c r="F158" s="1" t="s">
        <v>90</v>
      </c>
      <c r="G158" s="1" t="s">
        <v>51</v>
      </c>
      <c r="H158" s="1" t="s">
        <v>52</v>
      </c>
      <c r="I158" s="1" t="s">
        <v>168</v>
      </c>
      <c r="J158" s="1" t="s">
        <v>169</v>
      </c>
      <c r="K158" s="1" t="s">
        <v>93</v>
      </c>
      <c r="L158" s="1" t="s">
        <v>305</v>
      </c>
      <c r="M158" s="1" t="s">
        <v>622</v>
      </c>
      <c r="N158" s="1" t="s">
        <v>42</v>
      </c>
      <c r="O158" s="1">
        <v>7</v>
      </c>
      <c r="P158" s="3">
        <v>2305.37</v>
      </c>
      <c r="Q158" s="4">
        <v>0.25</v>
      </c>
      <c r="R158" s="4">
        <v>0.25</v>
      </c>
      <c r="S158" s="3">
        <v>12103.19</v>
      </c>
      <c r="T158" s="3">
        <v>6717.87</v>
      </c>
      <c r="U158" s="3">
        <v>5385.32</v>
      </c>
      <c r="V158" s="1" t="s">
        <v>43</v>
      </c>
      <c r="W158" s="1" t="s">
        <v>44</v>
      </c>
      <c r="X158" s="3">
        <f>IF(OR(O158="",P158="",R158=""),"",O158*P158*(1-R158))</f>
        <v>12103.19</v>
      </c>
      <c r="Y158" s="3">
        <f>IF(OR(X158="",T158=""),"",X158-T158)</f>
        <v>5385.32</v>
      </c>
      <c r="Z158" s="4">
        <f>IFERROR(Y158/X158,"")</f>
        <v>0.445</v>
      </c>
      <c r="AA158" s="1">
        <f>IF(OR(C158="",D158=""),"",D158-C158)</f>
        <v>0</v>
      </c>
      <c r="AB158" s="1">
        <f>IF(C158="","",MONTH(C158))</f>
        <v>3</v>
      </c>
      <c r="AC158" s="1">
        <f>IF(C158="","",YEAR(C158))</f>
        <v>2025</v>
      </c>
      <c r="AD158" s="1" t="s">
        <v>45</v>
      </c>
      <c r="AE158" s="1" t="s">
        <v>46</v>
      </c>
      <c r="AF158" s="1" t="s">
        <v>47</v>
      </c>
    </row>
    <row r="159" spans="1:32" x14ac:dyDescent="0.25">
      <c r="A159" s="1">
        <v>159</v>
      </c>
      <c r="B159" s="1" t="s">
        <v>623</v>
      </c>
      <c r="C159" s="2">
        <v>45586.77083333333</v>
      </c>
      <c r="D159" s="2">
        <v>45588.77083333333</v>
      </c>
      <c r="E159" s="1" t="s">
        <v>624</v>
      </c>
      <c r="F159" s="1" t="s">
        <v>163</v>
      </c>
      <c r="G159" s="1" t="s">
        <v>51</v>
      </c>
      <c r="H159" s="1" t="s">
        <v>71</v>
      </c>
      <c r="I159" s="1" t="s">
        <v>103</v>
      </c>
      <c r="J159" s="1" t="s">
        <v>104</v>
      </c>
      <c r="K159" s="1" t="s">
        <v>55</v>
      </c>
      <c r="L159" s="1" t="s">
        <v>182</v>
      </c>
      <c r="M159" s="1" t="s">
        <v>625</v>
      </c>
      <c r="N159" s="1" t="s">
        <v>76</v>
      </c>
      <c r="O159" s="1">
        <v>3</v>
      </c>
      <c r="P159" s="3">
        <v>915.84</v>
      </c>
      <c r="Q159" s="4">
        <v>0.15</v>
      </c>
      <c r="R159" s="4">
        <v>0.15</v>
      </c>
      <c r="S159" s="3">
        <v>2335.39</v>
      </c>
      <c r="T159" s="3">
        <v>1466.15</v>
      </c>
      <c r="U159" s="3">
        <v>869.24</v>
      </c>
      <c r="V159" s="1" t="s">
        <v>43</v>
      </c>
      <c r="W159" s="1" t="s">
        <v>44</v>
      </c>
      <c r="X159" s="3">
        <f>IF(OR(O159="",P159="",R159=""),"",O159*P159*(1-R159))</f>
        <v>2335.39</v>
      </c>
      <c r="Y159" s="3">
        <f>IF(OR(X159="",T159=""),"",X159-T159)</f>
        <v>869.24</v>
      </c>
      <c r="Z159" s="4">
        <f>IFERROR(Y159/X159,"")</f>
        <v>0.3722</v>
      </c>
      <c r="AA159" s="1">
        <f>IF(OR(C159="",D159=""),"",D159-C159)</f>
        <v>2</v>
      </c>
      <c r="AB159" s="1">
        <f>IF(C159="","",MONTH(C159))</f>
        <v>10</v>
      </c>
      <c r="AC159" s="1">
        <f>IF(C159="","",YEAR(C159))</f>
        <v>2024</v>
      </c>
      <c r="AD159" s="1" t="s">
        <v>45</v>
      </c>
      <c r="AE159" s="1" t="s">
        <v>46</v>
      </c>
      <c r="AF159" s="1" t="s">
        <v>47</v>
      </c>
    </row>
    <row r="160" spans="1:32" x14ac:dyDescent="0.25">
      <c r="A160" s="1">
        <v>160</v>
      </c>
      <c r="B160" s="1" t="s">
        <v>626</v>
      </c>
      <c r="C160" s="2">
        <v>45543.77083333333</v>
      </c>
      <c r="D160" s="2">
        <v>45545.77083333333</v>
      </c>
      <c r="E160" s="1" t="s">
        <v>627</v>
      </c>
      <c r="F160" s="1" t="s">
        <v>98</v>
      </c>
      <c r="G160" s="1" t="s">
        <v>114</v>
      </c>
      <c r="H160" s="1" t="s">
        <v>71</v>
      </c>
      <c r="I160" s="1" t="s">
        <v>72</v>
      </c>
      <c r="J160" s="1" t="s">
        <v>73</v>
      </c>
      <c r="K160" s="1" t="s">
        <v>55</v>
      </c>
      <c r="L160" s="1" t="s">
        <v>182</v>
      </c>
      <c r="M160" s="1" t="s">
        <v>628</v>
      </c>
      <c r="N160" s="1" t="s">
        <v>64</v>
      </c>
      <c r="O160" s="1">
        <v>1</v>
      </c>
      <c r="P160" s="3">
        <v>4199.54</v>
      </c>
      <c r="Q160" s="4">
        <v>0.05</v>
      </c>
      <c r="R160" s="4">
        <v>0.05</v>
      </c>
      <c r="S160" s="3">
        <v>3989.56</v>
      </c>
      <c r="T160" s="3">
        <v>2381.38</v>
      </c>
      <c r="U160" s="3">
        <v>1608.18</v>
      </c>
      <c r="V160" s="1" t="s">
        <v>43</v>
      </c>
      <c r="W160" s="1" t="s">
        <v>44</v>
      </c>
      <c r="X160" s="3">
        <f>IF(OR(O160="",P160="",R160=""),"",O160*P160*(1-R160))</f>
        <v>3989.56</v>
      </c>
      <c r="Y160" s="3">
        <f>IF(OR(X160="",T160=""),"",X160-T160)</f>
        <v>1608.18</v>
      </c>
      <c r="Z160" s="4">
        <f>IFERROR(Y160/X160,"")</f>
        <v>0.4031</v>
      </c>
      <c r="AA160" s="1">
        <f>IF(OR(C160="",D160=""),"",D160-C160)</f>
        <v>2</v>
      </c>
      <c r="AB160" s="1">
        <f>IF(C160="","",MONTH(C160))</f>
        <v>9</v>
      </c>
      <c r="AC160" s="1">
        <f>IF(C160="","",YEAR(C160))</f>
        <v>2024</v>
      </c>
      <c r="AD160" s="1" t="s">
        <v>45</v>
      </c>
      <c r="AE160" s="1" t="s">
        <v>46</v>
      </c>
      <c r="AF160" s="1" t="s">
        <v>47</v>
      </c>
    </row>
    <row r="161" spans="1:32" s="15" customFormat="1" x14ac:dyDescent="0.25">
      <c r="A161" s="16">
        <v>161</v>
      </c>
      <c r="B161" s="16" t="s">
        <v>629</v>
      </c>
      <c r="C161" s="17">
        <v>45686.77083333333</v>
      </c>
      <c r="D161" s="17">
        <v>45691.77083333333</v>
      </c>
      <c r="E161" s="16" t="s">
        <v>630</v>
      </c>
      <c r="F161" s="16" t="s">
        <v>135</v>
      </c>
      <c r="G161" s="16" t="s">
        <v>109</v>
      </c>
      <c r="H161" s="16" t="s">
        <v>36</v>
      </c>
      <c r="I161" s="16" t="s">
        <v>266</v>
      </c>
      <c r="J161" s="16" t="s">
        <v>267</v>
      </c>
      <c r="K161" s="16" t="s">
        <v>55</v>
      </c>
      <c r="L161" s="16" t="s">
        <v>83</v>
      </c>
      <c r="M161" s="16" t="s">
        <v>631</v>
      </c>
      <c r="N161" s="16" t="s">
        <v>58</v>
      </c>
      <c r="O161" s="16">
        <v>9</v>
      </c>
      <c r="P161" s="18">
        <v>4430.5</v>
      </c>
      <c r="Q161" s="19">
        <v>0.15</v>
      </c>
      <c r="R161" s="19">
        <v>0.15</v>
      </c>
      <c r="S161" s="18">
        <v>33893.32</v>
      </c>
      <c r="T161" s="18">
        <v>25750.35</v>
      </c>
      <c r="U161" s="18">
        <v>8142.97</v>
      </c>
      <c r="V161" s="16" t="s">
        <v>131</v>
      </c>
      <c r="W161" s="16" t="s">
        <v>85</v>
      </c>
      <c r="X161" s="18">
        <f>IF(OR(O161="",P161="",R161=""),"",O161*P161*(1-R161))</f>
        <v>33893.32</v>
      </c>
      <c r="Y161" s="18">
        <f>IF(OR(X161="",T161=""),"",X161-T161)</f>
        <v>8142.97</v>
      </c>
      <c r="Z161" s="19">
        <f>IFERROR(Y161/X161,"")</f>
        <v>0.2403</v>
      </c>
      <c r="AA161" s="16">
        <f>IF(OR(C161="",D161=""),"",D161-C161)</f>
        <v>5</v>
      </c>
      <c r="AB161" s="16">
        <f>IF(C161="","",MONTH(C161))</f>
        <v>1</v>
      </c>
      <c r="AC161" s="16">
        <f>IF(C161="","",YEAR(C161))</f>
        <v>2025</v>
      </c>
      <c r="AD161" s="16" t="s">
        <v>86</v>
      </c>
      <c r="AE161" s="16" t="s">
        <v>66</v>
      </c>
      <c r="AF161" s="16" t="s">
        <v>255</v>
      </c>
    </row>
    <row r="162" spans="1:32" s="10" customFormat="1" x14ac:dyDescent="0.25">
      <c r="A162" s="11">
        <v>162</v>
      </c>
      <c r="B162" s="11" t="s">
        <v>632</v>
      </c>
      <c r="C162" s="12">
        <v>45937.77083333333</v>
      </c>
      <c r="D162" s="12">
        <v>45935.77083333333</v>
      </c>
      <c r="E162" s="11" t="s">
        <v>633</v>
      </c>
      <c r="F162" s="11" t="s">
        <v>90</v>
      </c>
      <c r="G162" s="11" t="s">
        <v>51</v>
      </c>
      <c r="H162" s="11" t="s">
        <v>80</v>
      </c>
      <c r="I162" s="11" t="s">
        <v>81</v>
      </c>
      <c r="J162" s="11" t="s">
        <v>82</v>
      </c>
      <c r="K162" s="11" t="s">
        <v>39</v>
      </c>
      <c r="L162" s="11" t="s">
        <v>40</v>
      </c>
      <c r="M162" s="11" t="s">
        <v>634</v>
      </c>
      <c r="N162" s="11" t="s">
        <v>42</v>
      </c>
      <c r="O162" s="11">
        <v>4</v>
      </c>
      <c r="P162" s="13">
        <v>1260.42</v>
      </c>
      <c r="Q162" s="14">
        <v>0.05</v>
      </c>
      <c r="R162" s="14">
        <v>0.05</v>
      </c>
      <c r="S162" s="13">
        <v>4789.6</v>
      </c>
      <c r="T162" s="13">
        <v>4037.64</v>
      </c>
      <c r="U162" s="13">
        <v>751.96</v>
      </c>
      <c r="V162" s="11" t="s">
        <v>131</v>
      </c>
      <c r="W162" s="11" t="s">
        <v>85</v>
      </c>
      <c r="X162" s="13">
        <f>IF(OR(O162="",P162="",R162=""),"",O162*P162*(1-R162))</f>
        <v>4789.6</v>
      </c>
      <c r="Y162" s="13">
        <f>IF(OR(X162="",T162=""),"",X162-T162)</f>
        <v>751.96</v>
      </c>
      <c r="Z162" s="14">
        <f>IFERROR(Y162/X162,"")</f>
        <v>0.157</v>
      </c>
      <c r="AA162" s="11">
        <f>IF(OR(C162="",D162=""),"",D162-C162)</f>
        <v>-2</v>
      </c>
      <c r="AB162" s="11">
        <f>IF(C162="","",MONTH(C162))</f>
        <v>10</v>
      </c>
      <c r="AC162" s="11">
        <f>IF(C162="","",YEAR(C162))</f>
        <v>2025</v>
      </c>
      <c r="AD162" s="11" t="s">
        <v>65</v>
      </c>
      <c r="AE162" s="11" t="s">
        <v>66</v>
      </c>
      <c r="AF162" s="11" t="s">
        <v>188</v>
      </c>
    </row>
    <row r="163" spans="1:32" s="15" customFormat="1" x14ac:dyDescent="0.25">
      <c r="A163" s="16">
        <v>163</v>
      </c>
      <c r="B163" s="16" t="s">
        <v>635</v>
      </c>
      <c r="C163" s="17">
        <v>45861.77083333333</v>
      </c>
      <c r="D163" s="17">
        <v>45867.77083333333</v>
      </c>
      <c r="E163" s="16" t="s">
        <v>636</v>
      </c>
      <c r="F163" s="16" t="s">
        <v>70</v>
      </c>
      <c r="G163" s="16" t="s">
        <v>35</v>
      </c>
      <c r="H163" s="16" t="s">
        <v>80</v>
      </c>
      <c r="I163" s="16" t="s">
        <v>37</v>
      </c>
      <c r="J163" s="16" t="s">
        <v>129</v>
      </c>
      <c r="K163" s="16" t="s">
        <v>39</v>
      </c>
      <c r="L163" s="16" t="s">
        <v>176</v>
      </c>
      <c r="M163" s="16" t="s">
        <v>637</v>
      </c>
      <c r="N163" s="16" t="s">
        <v>76</v>
      </c>
      <c r="O163" s="16">
        <v>1</v>
      </c>
      <c r="P163" s="18">
        <v>1643.41</v>
      </c>
      <c r="Q163" s="19">
        <v>0</v>
      </c>
      <c r="R163" s="19">
        <v>0</v>
      </c>
      <c r="S163" s="18">
        <v>1643.41</v>
      </c>
      <c r="T163" s="18">
        <v>907.4</v>
      </c>
      <c r="U163" s="18">
        <v>736.01</v>
      </c>
      <c r="V163" s="16" t="s">
        <v>131</v>
      </c>
      <c r="W163" s="16" t="s">
        <v>85</v>
      </c>
      <c r="X163" s="18">
        <f>IF(OR(O163="",P163="",R163=""),"",O163*P163*(1-R163))</f>
        <v>1643.41</v>
      </c>
      <c r="Y163" s="18">
        <f>IF(OR(X163="",T163=""),"",X163-T163)</f>
        <v>736.01</v>
      </c>
      <c r="Z163" s="19">
        <f>IFERROR(Y163/X163,"")</f>
        <v>0.4479</v>
      </c>
      <c r="AA163" s="16">
        <f>IF(OR(C163="",D163=""),"",D163-C163)</f>
        <v>6</v>
      </c>
      <c r="AB163" s="16">
        <f>IF(C163="","",MONTH(C163))</f>
        <v>7</v>
      </c>
      <c r="AC163" s="16">
        <f>IF(C163="","",YEAR(C163))</f>
        <v>2025</v>
      </c>
      <c r="AD163" s="16" t="s">
        <v>86</v>
      </c>
      <c r="AE163" s="16" t="s">
        <v>66</v>
      </c>
      <c r="AF163" s="16" t="s">
        <v>255</v>
      </c>
    </row>
    <row r="164" spans="1:32" s="10" customFormat="1" x14ac:dyDescent="0.25">
      <c r="A164" s="11">
        <v>164</v>
      </c>
      <c r="B164" s="11" t="s">
        <v>638</v>
      </c>
      <c r="C164" s="12">
        <v>45359.77083333333</v>
      </c>
      <c r="D164" s="12">
        <v>45364.77083333333</v>
      </c>
      <c r="E164" s="11" t="s">
        <v>639</v>
      </c>
      <c r="F164" s="11" t="s">
        <v>98</v>
      </c>
      <c r="G164" s="11" t="s">
        <v>51</v>
      </c>
      <c r="H164" s="11" t="s">
        <v>80</v>
      </c>
      <c r="I164" s="11" t="s">
        <v>216</v>
      </c>
      <c r="J164" s="11" t="s">
        <v>217</v>
      </c>
      <c r="K164" s="11" t="s">
        <v>55</v>
      </c>
      <c r="L164" s="11" t="s">
        <v>74</v>
      </c>
      <c r="M164" s="11" t="s">
        <v>640</v>
      </c>
      <c r="N164" s="11" t="s">
        <v>42</v>
      </c>
      <c r="O164" s="11">
        <v>8</v>
      </c>
      <c r="P164" s="13">
        <v>4472.84</v>
      </c>
      <c r="Q164" s="14">
        <v>0</v>
      </c>
      <c r="R164" s="14">
        <v>0</v>
      </c>
      <c r="S164" s="13">
        <v>35997.62</v>
      </c>
      <c r="T164" s="13">
        <v>26424.41</v>
      </c>
      <c r="U164" s="13">
        <v>9358.31</v>
      </c>
      <c r="V164" s="11" t="s">
        <v>131</v>
      </c>
      <c r="W164" s="11" t="s">
        <v>122</v>
      </c>
      <c r="X164" s="13">
        <f>IF(OR(O164="",P164="",R164=""),"",O164*P164*(1-R164))</f>
        <v>35782.72</v>
      </c>
      <c r="Y164" s="13">
        <f>IF(OR(X164="",T164=""),"",X164-T164)</f>
        <v>9358.31</v>
      </c>
      <c r="Z164" s="14">
        <f>IFERROR(Y164/X164,"")</f>
        <v>0.2615</v>
      </c>
      <c r="AA164" s="11">
        <f>IF(OR(C164="",D164=""),"",D164-C164)</f>
        <v>5</v>
      </c>
      <c r="AB164" s="11">
        <f>IF(C164="","",MONTH(C164))</f>
        <v>3</v>
      </c>
      <c r="AC164" s="11">
        <f>IF(C164="","",YEAR(C164))</f>
        <v>2024</v>
      </c>
      <c r="AD164" s="11" t="s">
        <v>65</v>
      </c>
      <c r="AE164" s="11" t="s">
        <v>66</v>
      </c>
      <c r="AF164" s="11" t="s">
        <v>641</v>
      </c>
    </row>
    <row r="165" spans="1:32" s="15" customFormat="1" x14ac:dyDescent="0.25">
      <c r="A165" s="16">
        <v>165</v>
      </c>
      <c r="B165" s="16" t="s">
        <v>642</v>
      </c>
      <c r="C165" s="17">
        <v>45920.77083333333</v>
      </c>
      <c r="D165" s="17">
        <v>45925.77083333333</v>
      </c>
      <c r="E165" s="16" t="s">
        <v>643</v>
      </c>
      <c r="F165" s="16" t="s">
        <v>163</v>
      </c>
      <c r="G165" s="16" t="s">
        <v>114</v>
      </c>
      <c r="H165" s="16" t="s">
        <v>80</v>
      </c>
      <c r="I165" s="16" t="s">
        <v>206</v>
      </c>
      <c r="J165" s="16" t="s">
        <v>207</v>
      </c>
      <c r="K165" s="16" t="s">
        <v>55</v>
      </c>
      <c r="L165" s="16" t="s">
        <v>56</v>
      </c>
      <c r="M165" s="16" t="s">
        <v>644</v>
      </c>
      <c r="N165" s="16" t="s">
        <v>232</v>
      </c>
      <c r="O165" s="16">
        <v>6</v>
      </c>
      <c r="P165" s="18">
        <v>2903.58</v>
      </c>
      <c r="Q165" s="19">
        <v>0.1</v>
      </c>
      <c r="R165" s="19">
        <v>0.1</v>
      </c>
      <c r="S165" s="18">
        <v>15679.33</v>
      </c>
      <c r="T165" s="18">
        <v>12477.82</v>
      </c>
      <c r="U165" s="18">
        <v>3201.51</v>
      </c>
      <c r="V165" s="16" t="s">
        <v>131</v>
      </c>
      <c r="W165" s="16" t="s">
        <v>122</v>
      </c>
      <c r="X165" s="18">
        <f>IF(OR(O165="",P165="",R165=""),"",O165*P165*(1-R165))</f>
        <v>15679.33</v>
      </c>
      <c r="Y165" s="18">
        <f>IF(OR(X165="",T165=""),"",X165-T165)</f>
        <v>3201.51</v>
      </c>
      <c r="Z165" s="19">
        <f>IFERROR(Y165/X165,"")</f>
        <v>0.2042</v>
      </c>
      <c r="AA165" s="16">
        <f>IF(OR(C165="",D165=""),"",D165-C165)</f>
        <v>5</v>
      </c>
      <c r="AB165" s="16">
        <f>IF(C165="","",MONTH(C165))</f>
        <v>9</v>
      </c>
      <c r="AC165" s="16">
        <f>IF(C165="","",YEAR(C165))</f>
        <v>2025</v>
      </c>
      <c r="AD165" s="16" t="s">
        <v>86</v>
      </c>
      <c r="AE165" s="16" t="s">
        <v>66</v>
      </c>
      <c r="AF165" s="16" t="s">
        <v>316</v>
      </c>
    </row>
    <row r="166" spans="1:32" x14ac:dyDescent="0.25">
      <c r="A166" s="1">
        <v>166</v>
      </c>
      <c r="B166" s="1" t="s">
        <v>645</v>
      </c>
      <c r="C166" s="2">
        <v>45908.77083333333</v>
      </c>
      <c r="D166" s="2">
        <v>45913.77083333333</v>
      </c>
      <c r="E166" s="1" t="s">
        <v>646</v>
      </c>
      <c r="F166" s="1" t="s">
        <v>139</v>
      </c>
      <c r="G166" s="1" t="s">
        <v>51</v>
      </c>
      <c r="H166" s="1" t="s">
        <v>52</v>
      </c>
      <c r="I166" s="1" t="s">
        <v>118</v>
      </c>
      <c r="J166" s="1" t="s">
        <v>119</v>
      </c>
      <c r="K166" s="1" t="s">
        <v>55</v>
      </c>
      <c r="L166" s="1" t="s">
        <v>182</v>
      </c>
      <c r="M166" s="1" t="s">
        <v>647</v>
      </c>
      <c r="N166" s="1" t="s">
        <v>42</v>
      </c>
      <c r="O166" s="1">
        <v>1</v>
      </c>
      <c r="P166" s="3">
        <v>3154.42</v>
      </c>
      <c r="Q166" s="4">
        <v>0.25</v>
      </c>
      <c r="R166" s="4">
        <v>0.25</v>
      </c>
      <c r="S166" s="3">
        <v>2365.82</v>
      </c>
      <c r="T166" s="3">
        <v>1547.99</v>
      </c>
      <c r="U166" s="3">
        <v>817.83</v>
      </c>
      <c r="V166" s="1" t="s">
        <v>43</v>
      </c>
      <c r="W166" s="1" t="s">
        <v>44</v>
      </c>
      <c r="X166" s="3">
        <f>IF(OR(O166="",P166="",R166=""),"",O166*P166*(1-R166))</f>
        <v>2365.82</v>
      </c>
      <c r="Y166" s="3">
        <f>IF(OR(X166="",T166=""),"",X166-T166)</f>
        <v>817.83</v>
      </c>
      <c r="Z166" s="4">
        <f>IFERROR(Y166/X166,"")</f>
        <v>0.3457</v>
      </c>
      <c r="AA166" s="1">
        <f>IF(OR(C166="",D166=""),"",D166-C166)</f>
        <v>5</v>
      </c>
      <c r="AB166" s="1">
        <f>IF(C166="","",MONTH(C166))</f>
        <v>9</v>
      </c>
      <c r="AC166" s="1">
        <f>IF(C166="","",YEAR(C166))</f>
        <v>2025</v>
      </c>
      <c r="AD166" s="1" t="s">
        <v>45</v>
      </c>
      <c r="AE166" s="1" t="s">
        <v>46</v>
      </c>
      <c r="AF166" s="1" t="s">
        <v>47</v>
      </c>
    </row>
    <row r="167" spans="1:32" x14ac:dyDescent="0.25">
      <c r="A167" s="1">
        <v>167</v>
      </c>
      <c r="B167" s="1" t="s">
        <v>648</v>
      </c>
      <c r="C167" s="2">
        <v>45617.77083333333</v>
      </c>
      <c r="D167" s="2">
        <v>45624.77083333333</v>
      </c>
      <c r="E167" s="1" t="s">
        <v>649</v>
      </c>
      <c r="F167" s="1" t="s">
        <v>50</v>
      </c>
      <c r="G167" s="1" t="s">
        <v>114</v>
      </c>
      <c r="H167" s="1" t="s">
        <v>52</v>
      </c>
      <c r="I167" s="1" t="s">
        <v>168</v>
      </c>
      <c r="J167" s="1" t="s">
        <v>169</v>
      </c>
      <c r="K167" s="1" t="s">
        <v>55</v>
      </c>
      <c r="L167" s="1" t="s">
        <v>83</v>
      </c>
      <c r="M167" s="1" t="s">
        <v>650</v>
      </c>
      <c r="N167" s="1" t="s">
        <v>76</v>
      </c>
      <c r="O167" s="1">
        <v>4</v>
      </c>
      <c r="P167" s="3">
        <v>3422.99</v>
      </c>
      <c r="Q167" s="4">
        <v>0.25</v>
      </c>
      <c r="R167" s="4">
        <v>0.25</v>
      </c>
      <c r="S167" s="3">
        <v>10268.97</v>
      </c>
      <c r="T167" s="3">
        <v>6470.92</v>
      </c>
      <c r="U167" s="3">
        <v>3798.05</v>
      </c>
      <c r="V167" s="1" t="s">
        <v>43</v>
      </c>
      <c r="W167" s="1" t="s">
        <v>44</v>
      </c>
      <c r="X167" s="3">
        <f>IF(OR(O167="",P167="",R167=""),"",O167*P167*(1-R167))</f>
        <v>10268.97</v>
      </c>
      <c r="Y167" s="3">
        <f>IF(OR(X167="",T167=""),"",X167-T167)</f>
        <v>3798.05</v>
      </c>
      <c r="Z167" s="4">
        <f>IFERROR(Y167/X167,"")</f>
        <v>0.3699</v>
      </c>
      <c r="AA167" s="1">
        <f>IF(OR(C167="",D167=""),"",D167-C167)</f>
        <v>7</v>
      </c>
      <c r="AB167" s="1">
        <f>IF(C167="","",MONTH(C167))</f>
        <v>11</v>
      </c>
      <c r="AC167" s="1">
        <f>IF(C167="","",YEAR(C167))</f>
        <v>2024</v>
      </c>
      <c r="AD167" s="1" t="s">
        <v>45</v>
      </c>
      <c r="AE167" s="1" t="s">
        <v>46</v>
      </c>
      <c r="AF167" s="1" t="s">
        <v>47</v>
      </c>
    </row>
    <row r="168" spans="1:32" x14ac:dyDescent="0.25">
      <c r="A168" s="1">
        <v>168</v>
      </c>
      <c r="B168" s="1" t="s">
        <v>651</v>
      </c>
      <c r="C168" s="2">
        <v>45707.77083333333</v>
      </c>
      <c r="D168" s="2">
        <v>45713.77083333333</v>
      </c>
      <c r="E168" s="1" t="s">
        <v>652</v>
      </c>
      <c r="F168" s="1" t="s">
        <v>34</v>
      </c>
      <c r="G168" s="1" t="s">
        <v>51</v>
      </c>
      <c r="H168" s="1" t="s">
        <v>80</v>
      </c>
      <c r="I168" s="1" t="s">
        <v>206</v>
      </c>
      <c r="J168" s="1" t="s">
        <v>207</v>
      </c>
      <c r="K168" s="1" t="s">
        <v>39</v>
      </c>
      <c r="L168" s="1" t="s">
        <v>110</v>
      </c>
      <c r="M168" s="1" t="s">
        <v>653</v>
      </c>
      <c r="N168" s="1" t="s">
        <v>64</v>
      </c>
      <c r="O168" s="1">
        <v>1</v>
      </c>
      <c r="P168" s="3">
        <v>2557.85</v>
      </c>
      <c r="Q168" s="4">
        <v>0.2</v>
      </c>
      <c r="R168" s="4">
        <v>0.2</v>
      </c>
      <c r="S168" s="3">
        <v>2046.28</v>
      </c>
      <c r="T168" s="3">
        <v>1449.54</v>
      </c>
      <c r="U168" s="3">
        <v>596.74</v>
      </c>
      <c r="V168" s="1" t="s">
        <v>43</v>
      </c>
      <c r="W168" s="1" t="s">
        <v>44</v>
      </c>
      <c r="X168" s="3">
        <f>IF(OR(O168="",P168="",R168=""),"",O168*P168*(1-R168))</f>
        <v>2046.28</v>
      </c>
      <c r="Y168" s="3">
        <f>IF(OR(X168="",T168=""),"",X168-T168)</f>
        <v>596.74</v>
      </c>
      <c r="Z168" s="4">
        <f>IFERROR(Y168/X168,"")</f>
        <v>0.2916</v>
      </c>
      <c r="AA168" s="1">
        <f>IF(OR(C168="",D168=""),"",D168-C168)</f>
        <v>6</v>
      </c>
      <c r="AB168" s="1">
        <f>IF(C168="","",MONTH(C168))</f>
        <v>2</v>
      </c>
      <c r="AC168" s="1">
        <f>IF(C168="","",YEAR(C168))</f>
        <v>2025</v>
      </c>
      <c r="AD168" s="1" t="s">
        <v>45</v>
      </c>
      <c r="AE168" s="1" t="s">
        <v>46</v>
      </c>
      <c r="AF168" s="1" t="s">
        <v>47</v>
      </c>
    </row>
    <row r="169" spans="1:32" s="15" customFormat="1" x14ac:dyDescent="0.25">
      <c r="A169" s="16">
        <v>169</v>
      </c>
      <c r="B169" s="16" t="s">
        <v>654</v>
      </c>
      <c r="C169" s="17">
        <v>45886.77083333333</v>
      </c>
      <c r="D169" s="17">
        <v>45886.77083333333</v>
      </c>
      <c r="E169" s="16" t="s">
        <v>655</v>
      </c>
      <c r="F169" s="16" t="s">
        <v>70</v>
      </c>
      <c r="G169" s="16" t="s">
        <v>114</v>
      </c>
      <c r="H169" s="16" t="s">
        <v>71</v>
      </c>
      <c r="I169" s="16" t="s">
        <v>201</v>
      </c>
      <c r="J169" s="16" t="s">
        <v>202</v>
      </c>
      <c r="K169" s="16" t="s">
        <v>39</v>
      </c>
      <c r="L169" s="16" t="s">
        <v>145</v>
      </c>
      <c r="M169" s="16" t="s">
        <v>656</v>
      </c>
      <c r="N169" s="16" t="s">
        <v>64</v>
      </c>
      <c r="O169" s="16">
        <v>9</v>
      </c>
      <c r="P169" s="18">
        <v>3030.93</v>
      </c>
      <c r="Q169" s="19">
        <v>0.15</v>
      </c>
      <c r="R169" s="19">
        <v>0.15</v>
      </c>
      <c r="S169" s="18">
        <v>23186.61</v>
      </c>
      <c r="T169" s="18">
        <v>17906.54</v>
      </c>
      <c r="U169" s="18">
        <v>5280.07</v>
      </c>
      <c r="V169" s="16" t="s">
        <v>43</v>
      </c>
      <c r="W169" s="16" t="s">
        <v>122</v>
      </c>
      <c r="X169" s="18">
        <f>IF(OR(O169="",P169="",R169=""),"",O169*P169*(1-R169))</f>
        <v>23186.61</v>
      </c>
      <c r="Y169" s="18">
        <f>IF(OR(X169="",T169=""),"",X169-T169)</f>
        <v>5280.07</v>
      </c>
      <c r="Z169" s="19">
        <f>IFERROR(Y169/X169,"")</f>
        <v>0.2277</v>
      </c>
      <c r="AA169" s="16">
        <f>IF(OR(C169="",D169=""),"",D169-C169)</f>
        <v>0</v>
      </c>
      <c r="AB169" s="16">
        <f>IF(C169="","",MONTH(C169))</f>
        <v>8</v>
      </c>
      <c r="AC169" s="16">
        <f>IF(C169="","",YEAR(C169))</f>
        <v>2025</v>
      </c>
      <c r="AD169" s="16" t="s">
        <v>86</v>
      </c>
      <c r="AE169" s="16" t="s">
        <v>66</v>
      </c>
      <c r="AF169" s="16" t="s">
        <v>198</v>
      </c>
    </row>
    <row r="170" spans="1:32" s="15" customFormat="1" x14ac:dyDescent="0.25">
      <c r="A170" s="16">
        <v>170</v>
      </c>
      <c r="B170" s="16" t="s">
        <v>657</v>
      </c>
      <c r="C170" s="17">
        <v>45676.77083333333</v>
      </c>
      <c r="D170" s="17">
        <v>45679.77083333333</v>
      </c>
      <c r="E170" s="16" t="s">
        <v>658</v>
      </c>
      <c r="F170" s="16" t="s">
        <v>294</v>
      </c>
      <c r="G170" s="16" t="s">
        <v>35</v>
      </c>
      <c r="H170" s="16" t="s">
        <v>80</v>
      </c>
      <c r="I170" s="16" t="s">
        <v>81</v>
      </c>
      <c r="J170" s="16" t="s">
        <v>82</v>
      </c>
      <c r="K170" s="16" t="s">
        <v>93</v>
      </c>
      <c r="L170" s="16" t="s">
        <v>94</v>
      </c>
      <c r="M170" s="16" t="s">
        <v>659</v>
      </c>
      <c r="N170" s="16" t="s">
        <v>58</v>
      </c>
      <c r="O170" s="16">
        <v>5</v>
      </c>
      <c r="P170" s="18">
        <v>639.27</v>
      </c>
      <c r="Q170" s="19">
        <v>0.2</v>
      </c>
      <c r="R170" s="19">
        <v>0.2</v>
      </c>
      <c r="S170" s="18">
        <v>2557.08</v>
      </c>
      <c r="T170" s="18">
        <v>2025.69</v>
      </c>
      <c r="U170" s="18">
        <v>531.39</v>
      </c>
      <c r="V170" s="16" t="s">
        <v>43</v>
      </c>
      <c r="W170" s="16" t="s">
        <v>85</v>
      </c>
      <c r="X170" s="18">
        <f>IF(OR(O170="",P170="",R170=""),"",O170*P170*(1-R170))</f>
        <v>2557.08</v>
      </c>
      <c r="Y170" s="18">
        <f>IF(OR(X170="",T170=""),"",X170-T170)</f>
        <v>531.39</v>
      </c>
      <c r="Z170" s="19">
        <f>IFERROR(Y170/X170,"")</f>
        <v>0.2078</v>
      </c>
      <c r="AA170" s="16">
        <f>IF(OR(C170="",D170=""),"",D170-C170)</f>
        <v>3</v>
      </c>
      <c r="AB170" s="16">
        <f>IF(C170="","",MONTH(C170))</f>
        <v>1</v>
      </c>
      <c r="AC170" s="16">
        <f>IF(C170="","",YEAR(C170))</f>
        <v>2025</v>
      </c>
      <c r="AD170" s="16" t="s">
        <v>86</v>
      </c>
      <c r="AE170" s="16" t="s">
        <v>66</v>
      </c>
      <c r="AF170" s="16" t="s">
        <v>87</v>
      </c>
    </row>
    <row r="171" spans="1:32" s="15" customFormat="1" x14ac:dyDescent="0.25">
      <c r="A171" s="16">
        <v>171</v>
      </c>
      <c r="B171" s="16" t="s">
        <v>660</v>
      </c>
      <c r="C171" s="17">
        <v>45912.77083333333</v>
      </c>
      <c r="D171" s="17">
        <v>45912.77083333333</v>
      </c>
      <c r="E171" s="16" t="s">
        <v>661</v>
      </c>
      <c r="F171" s="16" t="s">
        <v>186</v>
      </c>
      <c r="G171" s="16" t="s">
        <v>35</v>
      </c>
      <c r="H171" s="16" t="s">
        <v>52</v>
      </c>
      <c r="I171" s="16" t="s">
        <v>191</v>
      </c>
      <c r="J171" s="16" t="s">
        <v>192</v>
      </c>
      <c r="K171" s="16" t="s">
        <v>39</v>
      </c>
      <c r="L171" s="16" t="s">
        <v>62</v>
      </c>
      <c r="M171" s="16" t="s">
        <v>662</v>
      </c>
      <c r="N171" s="16" t="s">
        <v>76</v>
      </c>
      <c r="O171" s="16">
        <v>8</v>
      </c>
      <c r="P171" s="18">
        <v>733.9</v>
      </c>
      <c r="Q171" s="19">
        <v>0.05</v>
      </c>
      <c r="R171" s="19">
        <v>0.05</v>
      </c>
      <c r="S171" s="18">
        <v>5577.64</v>
      </c>
      <c r="T171" s="18">
        <v>3541.29</v>
      </c>
      <c r="U171" s="18">
        <v>2036.35</v>
      </c>
      <c r="V171" s="16" t="s">
        <v>131</v>
      </c>
      <c r="W171" s="16" t="s">
        <v>122</v>
      </c>
      <c r="X171" s="18">
        <f>IF(OR(O171="",P171="",R171=""),"",O171*P171*(1-R171))</f>
        <v>5577.64</v>
      </c>
      <c r="Y171" s="18">
        <f>IF(OR(X171="",T171=""),"",X171-T171)</f>
        <v>2036.35</v>
      </c>
      <c r="Z171" s="19">
        <f>IFERROR(Y171/X171,"")</f>
        <v>0.3651</v>
      </c>
      <c r="AA171" s="16">
        <f>IF(OR(C171="",D171=""),"",D171-C171)</f>
        <v>0</v>
      </c>
      <c r="AB171" s="16">
        <f>IF(C171="","",MONTH(C171))</f>
        <v>9</v>
      </c>
      <c r="AC171" s="16">
        <f>IF(C171="","",YEAR(C171))</f>
        <v>2025</v>
      </c>
      <c r="AD171" s="16" t="s">
        <v>86</v>
      </c>
      <c r="AE171" s="16" t="s">
        <v>66</v>
      </c>
      <c r="AF171" s="16" t="s">
        <v>132</v>
      </c>
    </row>
    <row r="172" spans="1:32" s="10" customFormat="1" x14ac:dyDescent="0.25">
      <c r="A172" s="11">
        <v>172</v>
      </c>
      <c r="B172" s="11" t="s">
        <v>663</v>
      </c>
      <c r="C172" s="12">
        <v>45906.77083333333</v>
      </c>
      <c r="D172" s="12">
        <v>45914.77083333333</v>
      </c>
      <c r="E172" s="11" t="s">
        <v>664</v>
      </c>
      <c r="F172" s="11" t="s">
        <v>163</v>
      </c>
      <c r="G172" s="11" t="s">
        <v>109</v>
      </c>
      <c r="H172" s="11" t="s">
        <v>52</v>
      </c>
      <c r="I172" s="11" t="s">
        <v>168</v>
      </c>
      <c r="J172" s="11" t="s">
        <v>169</v>
      </c>
      <c r="K172" s="11" t="s">
        <v>93</v>
      </c>
      <c r="L172" s="11" t="s">
        <v>99</v>
      </c>
      <c r="M172" s="11" t="s">
        <v>665</v>
      </c>
      <c r="N172" s="11" t="s">
        <v>76</v>
      </c>
      <c r="O172" s="11">
        <v>3</v>
      </c>
      <c r="P172" s="13">
        <v>1711.32</v>
      </c>
      <c r="Q172" s="14">
        <v>0</v>
      </c>
      <c r="R172" s="14">
        <v>0</v>
      </c>
      <c r="S172" s="13">
        <v>5133.96</v>
      </c>
      <c r="T172" s="13">
        <v>3930</v>
      </c>
      <c r="U172" s="13">
        <v>1203.96</v>
      </c>
      <c r="V172" s="11" t="s">
        <v>43</v>
      </c>
      <c r="W172" s="11" t="s">
        <v>44</v>
      </c>
      <c r="X172" s="13">
        <f>IF(OR(O172="",P172="",R172=""),"",O172*P172*(1-R172))</f>
        <v>5133.96</v>
      </c>
      <c r="Y172" s="13">
        <f>IF(OR(X172="",T172=""),"",X172-T172)</f>
        <v>1203.96</v>
      </c>
      <c r="Z172" s="14">
        <f>IFERROR(Y172/X172,"")</f>
        <v>0.2345</v>
      </c>
      <c r="AA172" s="11">
        <f>IF(OR(C172="",D172=""),"",D172-C172)</f>
        <v>8</v>
      </c>
      <c r="AB172" s="11">
        <f>IF(C172="","",MONTH(C172))</f>
        <v>9</v>
      </c>
      <c r="AC172" s="11">
        <f>IF(C172="","",YEAR(C172))</f>
        <v>2025</v>
      </c>
      <c r="AD172" s="11" t="s">
        <v>65</v>
      </c>
      <c r="AE172" s="11" t="s">
        <v>66</v>
      </c>
      <c r="AF172" s="11" t="s">
        <v>417</v>
      </c>
    </row>
    <row r="173" spans="1:32" x14ac:dyDescent="0.25">
      <c r="A173" s="1">
        <v>173</v>
      </c>
      <c r="B173" s="1" t="s">
        <v>666</v>
      </c>
      <c r="C173" s="2">
        <v>45710.77083333333</v>
      </c>
      <c r="D173" s="2">
        <v>45712.77083333333</v>
      </c>
      <c r="E173" s="1" t="s">
        <v>667</v>
      </c>
      <c r="F173" s="1" t="s">
        <v>34</v>
      </c>
      <c r="G173" s="1" t="s">
        <v>109</v>
      </c>
      <c r="H173" s="1" t="s">
        <v>52</v>
      </c>
      <c r="I173" s="1" t="s">
        <v>168</v>
      </c>
      <c r="J173" s="1" t="s">
        <v>169</v>
      </c>
      <c r="K173" s="1" t="s">
        <v>39</v>
      </c>
      <c r="L173" s="1" t="s">
        <v>110</v>
      </c>
      <c r="M173" s="1" t="s">
        <v>668</v>
      </c>
      <c r="N173" s="1" t="s">
        <v>58</v>
      </c>
      <c r="O173" s="1">
        <v>5</v>
      </c>
      <c r="P173" s="3">
        <v>4246.27</v>
      </c>
      <c r="Q173" s="4">
        <v>0.25</v>
      </c>
      <c r="R173" s="4">
        <v>0.25</v>
      </c>
      <c r="S173" s="3">
        <v>15923.51</v>
      </c>
      <c r="T173" s="3">
        <v>11291.8</v>
      </c>
      <c r="U173" s="3">
        <v>4631.71</v>
      </c>
      <c r="V173" s="1" t="s">
        <v>43</v>
      </c>
      <c r="W173" s="1" t="s">
        <v>44</v>
      </c>
      <c r="X173" s="3">
        <f>IF(OR(O173="",P173="",R173=""),"",O173*P173*(1-R173))</f>
        <v>15923.51</v>
      </c>
      <c r="Y173" s="3">
        <f>IF(OR(X173="",T173=""),"",X173-T173)</f>
        <v>4631.71</v>
      </c>
      <c r="Z173" s="4">
        <f>IFERROR(Y173/X173,"")</f>
        <v>0.2909</v>
      </c>
      <c r="AA173" s="1">
        <f>IF(OR(C173="",D173=""),"",D173-C173)</f>
        <v>2</v>
      </c>
      <c r="AB173" s="1">
        <f>IF(C173="","",MONTH(C173))</f>
        <v>2</v>
      </c>
      <c r="AC173" s="1">
        <f>IF(C173="","",YEAR(C173))</f>
        <v>2025</v>
      </c>
      <c r="AD173" s="1" t="s">
        <v>45</v>
      </c>
      <c r="AE173" s="1" t="s">
        <v>46</v>
      </c>
      <c r="AF173" s="1" t="s">
        <v>47</v>
      </c>
    </row>
    <row r="174" spans="1:32" s="15" customFormat="1" x14ac:dyDescent="0.25">
      <c r="A174" s="16">
        <v>174</v>
      </c>
      <c r="B174" s="16" t="s">
        <v>669</v>
      </c>
      <c r="C174" s="17">
        <v>45870.77083333333</v>
      </c>
      <c r="D174" s="17">
        <v>45878.77083333333</v>
      </c>
      <c r="E174" s="16" t="s">
        <v>670</v>
      </c>
      <c r="F174" s="16" t="s">
        <v>34</v>
      </c>
      <c r="G174" s="16" t="s">
        <v>109</v>
      </c>
      <c r="H174" s="16" t="s">
        <v>36</v>
      </c>
      <c r="I174" s="16" t="s">
        <v>384</v>
      </c>
      <c r="J174" s="16" t="s">
        <v>385</v>
      </c>
      <c r="K174" s="16" t="s">
        <v>55</v>
      </c>
      <c r="L174" s="16" t="s">
        <v>74</v>
      </c>
      <c r="M174" s="16" t="s">
        <v>671</v>
      </c>
      <c r="N174" s="16" t="s">
        <v>58</v>
      </c>
      <c r="O174" s="16">
        <v>9</v>
      </c>
      <c r="P174" s="18">
        <v>2962.62</v>
      </c>
      <c r="Q174" s="19">
        <v>0.1</v>
      </c>
      <c r="R174" s="19">
        <v>0.1</v>
      </c>
      <c r="S174" s="18">
        <v>23997.22</v>
      </c>
      <c r="T174" s="18">
        <v>16134.63</v>
      </c>
      <c r="U174" s="18">
        <v>7862.59</v>
      </c>
      <c r="V174" s="16" t="s">
        <v>121</v>
      </c>
      <c r="W174" s="16" t="s">
        <v>122</v>
      </c>
      <c r="X174" s="18">
        <f>IF(OR(O174="",P174="",R174=""),"",O174*P174*(1-R174))</f>
        <v>23997.22</v>
      </c>
      <c r="Y174" s="18">
        <f>IF(OR(X174="",T174=""),"",X174-T174)</f>
        <v>7862.59</v>
      </c>
      <c r="Z174" s="19">
        <f>IFERROR(Y174/X174,"")</f>
        <v>0.3276</v>
      </c>
      <c r="AA174" s="16">
        <f>IF(OR(C174="",D174=""),"",D174-C174)</f>
        <v>8</v>
      </c>
      <c r="AB174" s="16">
        <f>IF(C174="","",MONTH(C174))</f>
        <v>8</v>
      </c>
      <c r="AC174" s="16">
        <f>IF(C174="","",YEAR(C174))</f>
        <v>2025</v>
      </c>
      <c r="AD174" s="16" t="s">
        <v>86</v>
      </c>
      <c r="AE174" s="16" t="s">
        <v>66</v>
      </c>
      <c r="AF174" s="16" t="s">
        <v>123</v>
      </c>
    </row>
    <row r="175" spans="1:32" x14ac:dyDescent="0.25">
      <c r="A175" s="1">
        <v>175</v>
      </c>
      <c r="B175" s="1" t="s">
        <v>672</v>
      </c>
      <c r="C175" s="2">
        <v>45413.77083333333</v>
      </c>
      <c r="D175" s="2">
        <v>45419.77083333333</v>
      </c>
      <c r="E175" s="1" t="s">
        <v>673</v>
      </c>
      <c r="F175" s="1" t="s">
        <v>135</v>
      </c>
      <c r="G175" s="1" t="s">
        <v>114</v>
      </c>
      <c r="H175" s="1" t="s">
        <v>36</v>
      </c>
      <c r="I175" s="1" t="s">
        <v>143</v>
      </c>
      <c r="J175" s="1" t="s">
        <v>144</v>
      </c>
      <c r="K175" s="1" t="s">
        <v>93</v>
      </c>
      <c r="L175" s="1" t="s">
        <v>99</v>
      </c>
      <c r="M175" s="1" t="s">
        <v>674</v>
      </c>
      <c r="N175" s="1" t="s">
        <v>42</v>
      </c>
      <c r="O175" s="1">
        <v>1</v>
      </c>
      <c r="P175" s="3">
        <v>2312.25</v>
      </c>
      <c r="Q175" s="4">
        <v>0.25</v>
      </c>
      <c r="R175" s="4">
        <v>0.25</v>
      </c>
      <c r="S175" s="3">
        <v>1734.19</v>
      </c>
      <c r="T175" s="3">
        <v>1386.07</v>
      </c>
      <c r="U175" s="3">
        <v>348.12</v>
      </c>
      <c r="V175" s="1" t="s">
        <v>43</v>
      </c>
      <c r="W175" s="1" t="s">
        <v>44</v>
      </c>
      <c r="X175" s="3">
        <f>IF(OR(O175="",P175="",R175=""),"",O175*P175*(1-R175))</f>
        <v>1734.19</v>
      </c>
      <c r="Y175" s="3">
        <f>IF(OR(X175="",T175=""),"",X175-T175)</f>
        <v>348.12</v>
      </c>
      <c r="Z175" s="4">
        <f>IFERROR(Y175/X175,"")</f>
        <v>0.2007</v>
      </c>
      <c r="AA175" s="1">
        <f>IF(OR(C175="",D175=""),"",D175-C175)</f>
        <v>6</v>
      </c>
      <c r="AB175" s="1">
        <f>IF(C175="","",MONTH(C175))</f>
        <v>5</v>
      </c>
      <c r="AC175" s="1">
        <f>IF(C175="","",YEAR(C175))</f>
        <v>2024</v>
      </c>
      <c r="AD175" s="1" t="s">
        <v>45</v>
      </c>
      <c r="AE175" s="1" t="s">
        <v>46</v>
      </c>
      <c r="AF175" s="1" t="s">
        <v>47</v>
      </c>
    </row>
    <row r="176" spans="1:32" s="15" customFormat="1" x14ac:dyDescent="0.25">
      <c r="A176" s="16">
        <v>176</v>
      </c>
      <c r="B176" s="16" t="s">
        <v>675</v>
      </c>
      <c r="C176" s="17">
        <v>45927.77083333333</v>
      </c>
      <c r="D176" s="17">
        <v>45933.77083333333</v>
      </c>
      <c r="E176" s="16" t="s">
        <v>676</v>
      </c>
      <c r="F176" s="16" t="s">
        <v>34</v>
      </c>
      <c r="G176" s="16" t="s">
        <v>51</v>
      </c>
      <c r="H176" s="16" t="s">
        <v>71</v>
      </c>
      <c r="I176" s="16" t="s">
        <v>201</v>
      </c>
      <c r="J176" s="16" t="s">
        <v>202</v>
      </c>
      <c r="K176" s="16" t="s">
        <v>55</v>
      </c>
      <c r="L176" s="16" t="s">
        <v>182</v>
      </c>
      <c r="M176" s="16" t="s">
        <v>677</v>
      </c>
      <c r="N176" s="16" t="s">
        <v>64</v>
      </c>
      <c r="O176" s="16">
        <v>6</v>
      </c>
      <c r="P176" s="18">
        <v>1620.53</v>
      </c>
      <c r="Q176" s="19">
        <v>0.15</v>
      </c>
      <c r="R176" s="19">
        <v>0.15</v>
      </c>
      <c r="S176" s="18">
        <v>8264.7</v>
      </c>
      <c r="T176" s="18">
        <v>4768.75</v>
      </c>
      <c r="U176" s="18">
        <v>3495.95</v>
      </c>
      <c r="V176" s="16" t="s">
        <v>131</v>
      </c>
      <c r="W176" s="16" t="s">
        <v>122</v>
      </c>
      <c r="X176" s="18">
        <f>IF(OR(O176="",P176="",R176=""),"",O176*P176*(1-R176))</f>
        <v>8264.7</v>
      </c>
      <c r="Y176" s="18">
        <f>IF(OR(X176="",T176=""),"",X176-T176)</f>
        <v>3495.95</v>
      </c>
      <c r="Z176" s="19">
        <f>IFERROR(Y176/X176,"")</f>
        <v>0.423</v>
      </c>
      <c r="AA176" s="16">
        <f>IF(OR(C176="",D176=""),"",D176-C176)</f>
        <v>6</v>
      </c>
      <c r="AB176" s="16">
        <f>IF(C176="","",MONTH(C176))</f>
        <v>9</v>
      </c>
      <c r="AC176" s="16">
        <f>IF(C176="","",YEAR(C176))</f>
        <v>2025</v>
      </c>
      <c r="AD176" s="16" t="s">
        <v>86</v>
      </c>
      <c r="AE176" s="16" t="s">
        <v>66</v>
      </c>
      <c r="AF176" s="16" t="s">
        <v>132</v>
      </c>
    </row>
    <row r="177" spans="1:32" s="15" customFormat="1" x14ac:dyDescent="0.25">
      <c r="A177" s="16">
        <v>177</v>
      </c>
      <c r="B177" s="16" t="s">
        <v>678</v>
      </c>
      <c r="C177" s="17">
        <v>45317.77083333333</v>
      </c>
      <c r="D177" s="17">
        <v>45324.77083333333</v>
      </c>
      <c r="E177" s="16" t="s">
        <v>679</v>
      </c>
      <c r="F177" s="16" t="s">
        <v>70</v>
      </c>
      <c r="G177" s="16" t="s">
        <v>51</v>
      </c>
      <c r="H177" s="16" t="s">
        <v>52</v>
      </c>
      <c r="I177" s="16" t="s">
        <v>168</v>
      </c>
      <c r="J177" s="16" t="s">
        <v>169</v>
      </c>
      <c r="K177" s="16" t="s">
        <v>93</v>
      </c>
      <c r="L177" s="16" t="s">
        <v>305</v>
      </c>
      <c r="M177" s="16" t="s">
        <v>680</v>
      </c>
      <c r="N177" s="16" t="s">
        <v>58</v>
      </c>
      <c r="O177" s="16">
        <v>7</v>
      </c>
      <c r="P177" s="18">
        <v>2673.42</v>
      </c>
      <c r="Q177" s="19">
        <v>0.15</v>
      </c>
      <c r="R177" s="19">
        <v>0.15</v>
      </c>
      <c r="S177" s="18">
        <v>15906.85</v>
      </c>
      <c r="T177" s="18">
        <v>11014.46</v>
      </c>
      <c r="U177" s="18">
        <v>4892.39</v>
      </c>
      <c r="V177" s="16" t="s">
        <v>43</v>
      </c>
      <c r="W177" s="16" t="s">
        <v>122</v>
      </c>
      <c r="X177" s="18">
        <f>IF(OR(O177="",P177="",R177=""),"",O177*P177*(1-R177))</f>
        <v>15906.85</v>
      </c>
      <c r="Y177" s="18">
        <f>IF(OR(X177="",T177=""),"",X177-T177)</f>
        <v>4892.39</v>
      </c>
      <c r="Z177" s="19">
        <f>IFERROR(Y177/X177,"")</f>
        <v>0.3076</v>
      </c>
      <c r="AA177" s="16">
        <f>IF(OR(C177="",D177=""),"",D177-C177)</f>
        <v>7</v>
      </c>
      <c r="AB177" s="16">
        <f>IF(C177="","",MONTH(C177))</f>
        <v>1</v>
      </c>
      <c r="AC177" s="16">
        <f>IF(C177="","",YEAR(C177))</f>
        <v>2024</v>
      </c>
      <c r="AD177" s="16" t="s">
        <v>86</v>
      </c>
      <c r="AE177" s="16" t="s">
        <v>66</v>
      </c>
      <c r="AF177" s="16" t="s">
        <v>198</v>
      </c>
    </row>
    <row r="178" spans="1:32" x14ac:dyDescent="0.25">
      <c r="A178" s="1">
        <v>178</v>
      </c>
      <c r="B178" s="1" t="s">
        <v>681</v>
      </c>
      <c r="C178" s="2">
        <v>45733.77083333333</v>
      </c>
      <c r="D178" s="2">
        <v>45741.77083333333</v>
      </c>
      <c r="E178" s="1" t="s">
        <v>682</v>
      </c>
      <c r="F178" s="1" t="s">
        <v>90</v>
      </c>
      <c r="G178" s="1" t="s">
        <v>109</v>
      </c>
      <c r="H178" s="1" t="s">
        <v>52</v>
      </c>
      <c r="I178" s="1" t="s">
        <v>258</v>
      </c>
      <c r="J178" s="1" t="s">
        <v>259</v>
      </c>
      <c r="K178" s="1" t="s">
        <v>55</v>
      </c>
      <c r="L178" s="1" t="s">
        <v>182</v>
      </c>
      <c r="M178" s="1" t="s">
        <v>683</v>
      </c>
      <c r="N178" s="1" t="s">
        <v>76</v>
      </c>
      <c r="O178" s="1">
        <v>8</v>
      </c>
      <c r="P178" s="3">
        <v>3563.09</v>
      </c>
      <c r="Q178" s="4">
        <v>0.15</v>
      </c>
      <c r="R178" s="4">
        <v>0.15</v>
      </c>
      <c r="S178" s="3">
        <v>24229.01</v>
      </c>
      <c r="T178" s="3">
        <v>13910.64</v>
      </c>
      <c r="U178" s="3">
        <v>10318.37</v>
      </c>
      <c r="V178" s="1" t="s">
        <v>43</v>
      </c>
      <c r="W178" s="1" t="s">
        <v>44</v>
      </c>
      <c r="X178" s="3">
        <f>IF(OR(O178="",P178="",R178=""),"",O178*P178*(1-R178))</f>
        <v>24229.01</v>
      </c>
      <c r="Y178" s="3">
        <f>IF(OR(X178="",T178=""),"",X178-T178)</f>
        <v>10318.37</v>
      </c>
      <c r="Z178" s="4">
        <f>IFERROR(Y178/X178,"")</f>
        <v>0.4259</v>
      </c>
      <c r="AA178" s="1">
        <f>IF(OR(C178="",D178=""),"",D178-C178)</f>
        <v>8</v>
      </c>
      <c r="AB178" s="1">
        <f>IF(C178="","",MONTH(C178))</f>
        <v>3</v>
      </c>
      <c r="AC178" s="1">
        <f>IF(C178="","",YEAR(C178))</f>
        <v>2025</v>
      </c>
      <c r="AD178" s="1" t="s">
        <v>45</v>
      </c>
      <c r="AE178" s="1" t="s">
        <v>46</v>
      </c>
      <c r="AF178" s="1" t="s">
        <v>47</v>
      </c>
    </row>
    <row r="179" spans="1:32" s="15" customFormat="1" x14ac:dyDescent="0.25">
      <c r="A179" s="16">
        <v>179</v>
      </c>
      <c r="B179" s="16" t="s">
        <v>684</v>
      </c>
      <c r="C179" s="17">
        <v>45443.77083333333</v>
      </c>
      <c r="D179" s="17">
        <v>45445.77083333333</v>
      </c>
      <c r="E179" s="16" t="s">
        <v>685</v>
      </c>
      <c r="F179" s="16" t="s">
        <v>153</v>
      </c>
      <c r="G179" s="16" t="s">
        <v>114</v>
      </c>
      <c r="H179" s="16" t="s">
        <v>232</v>
      </c>
      <c r="I179" s="16" t="s">
        <v>168</v>
      </c>
      <c r="J179" s="16" t="s">
        <v>169</v>
      </c>
      <c r="K179" s="16" t="s">
        <v>39</v>
      </c>
      <c r="L179" s="16" t="s">
        <v>62</v>
      </c>
      <c r="M179" s="16" t="s">
        <v>686</v>
      </c>
      <c r="N179" s="16" t="s">
        <v>58</v>
      </c>
      <c r="O179" s="16">
        <v>8</v>
      </c>
      <c r="P179" s="18">
        <v>3879.95</v>
      </c>
      <c r="Q179" s="19">
        <v>0</v>
      </c>
      <c r="R179" s="19">
        <v>0</v>
      </c>
      <c r="S179" s="18">
        <v>31039.6</v>
      </c>
      <c r="T179" s="18">
        <v>20866.72</v>
      </c>
      <c r="U179" s="18">
        <v>10172.88</v>
      </c>
      <c r="V179" s="16" t="s">
        <v>43</v>
      </c>
      <c r="W179" s="16" t="s">
        <v>44</v>
      </c>
      <c r="X179" s="18">
        <f>IF(OR(O179="",P179="",R179=""),"",O179*P179*(1-R179))</f>
        <v>31039.6</v>
      </c>
      <c r="Y179" s="18">
        <f>IF(OR(X179="",T179=""),"",X179-T179)</f>
        <v>10172.88</v>
      </c>
      <c r="Z179" s="19">
        <f>IFERROR(Y179/X179,"")</f>
        <v>0.3277</v>
      </c>
      <c r="AA179" s="16">
        <f>IF(OR(C179="",D179=""),"",D179-C179)</f>
        <v>2</v>
      </c>
      <c r="AB179" s="16">
        <f>IF(C179="","",MONTH(C179))</f>
        <v>6</v>
      </c>
      <c r="AC179" s="16">
        <f>IF(C179="","",YEAR(C179))</f>
        <v>2024</v>
      </c>
      <c r="AD179" s="16" t="s">
        <v>86</v>
      </c>
      <c r="AE179" s="16" t="s">
        <v>46</v>
      </c>
      <c r="AF179" s="16" t="s">
        <v>487</v>
      </c>
    </row>
    <row r="180" spans="1:32" x14ac:dyDescent="0.25">
      <c r="A180" s="1">
        <v>180</v>
      </c>
      <c r="B180" s="1" t="s">
        <v>687</v>
      </c>
      <c r="C180" s="2">
        <v>45564.77083333333</v>
      </c>
      <c r="D180" s="2">
        <v>45564.77083333333</v>
      </c>
      <c r="E180" s="1" t="s">
        <v>688</v>
      </c>
      <c r="F180" s="1" t="s">
        <v>61</v>
      </c>
      <c r="G180" s="1" t="s">
        <v>109</v>
      </c>
      <c r="H180" s="1" t="s">
        <v>71</v>
      </c>
      <c r="I180" s="1" t="s">
        <v>72</v>
      </c>
      <c r="J180" s="1" t="s">
        <v>73</v>
      </c>
      <c r="K180" s="1" t="s">
        <v>39</v>
      </c>
      <c r="L180" s="1" t="s">
        <v>62</v>
      </c>
      <c r="M180" s="1" t="s">
        <v>689</v>
      </c>
      <c r="N180" s="1" t="s">
        <v>76</v>
      </c>
      <c r="O180" s="1">
        <v>4</v>
      </c>
      <c r="P180" s="3">
        <v>3281.74</v>
      </c>
      <c r="Q180" s="4">
        <v>0</v>
      </c>
      <c r="R180" s="4">
        <v>0</v>
      </c>
      <c r="S180" s="3">
        <v>13126.96</v>
      </c>
      <c r="T180" s="3">
        <v>10732.44</v>
      </c>
      <c r="U180" s="3">
        <v>2394.52</v>
      </c>
      <c r="V180" s="1" t="s">
        <v>43</v>
      </c>
      <c r="W180" s="1" t="s">
        <v>44</v>
      </c>
      <c r="X180" s="3">
        <f>IF(OR(O180="",P180="",R180=""),"",O180*P180*(1-R180))</f>
        <v>13126.96</v>
      </c>
      <c r="Y180" s="3">
        <f>IF(OR(X180="",T180=""),"",X180-T180)</f>
        <v>2394.52</v>
      </c>
      <c r="Z180" s="4">
        <f>IFERROR(Y180/X180,"")</f>
        <v>0.1824</v>
      </c>
      <c r="AA180" s="1">
        <f>IF(OR(C180="",D180=""),"",D180-C180)</f>
        <v>0</v>
      </c>
      <c r="AB180" s="1">
        <f>IF(C180="","",MONTH(C180))</f>
        <v>9</v>
      </c>
      <c r="AC180" s="1">
        <f>IF(C180="","",YEAR(C180))</f>
        <v>2024</v>
      </c>
      <c r="AD180" s="1" t="s">
        <v>45</v>
      </c>
      <c r="AE180" s="1" t="s">
        <v>46</v>
      </c>
      <c r="AF180" s="1" t="s">
        <v>47</v>
      </c>
    </row>
    <row r="181" spans="1:32" s="15" customFormat="1" x14ac:dyDescent="0.25">
      <c r="A181" s="16">
        <v>181</v>
      </c>
      <c r="B181" s="16" t="s">
        <v>690</v>
      </c>
      <c r="C181" s="17">
        <v>45365.77083333333</v>
      </c>
      <c r="D181" s="17">
        <v>45369.77083333333</v>
      </c>
      <c r="E181" s="16" t="s">
        <v>691</v>
      </c>
      <c r="F181" s="16" t="s">
        <v>79</v>
      </c>
      <c r="G181" s="16" t="s">
        <v>51</v>
      </c>
      <c r="H181" s="16" t="s">
        <v>71</v>
      </c>
      <c r="I181" s="16" t="s">
        <v>277</v>
      </c>
      <c r="J181" s="16" t="s">
        <v>278</v>
      </c>
      <c r="K181" s="16" t="s">
        <v>55</v>
      </c>
      <c r="L181" s="16" t="s">
        <v>74</v>
      </c>
      <c r="M181" s="16" t="s">
        <v>692</v>
      </c>
      <c r="N181" s="16" t="s">
        <v>76</v>
      </c>
      <c r="O181" s="16">
        <v>4</v>
      </c>
      <c r="P181" s="18">
        <v>3186.3</v>
      </c>
      <c r="Q181" s="19">
        <v>0.25</v>
      </c>
      <c r="R181" s="19">
        <v>0.25</v>
      </c>
      <c r="S181" s="18">
        <v>9558.9</v>
      </c>
      <c r="T181" s="18">
        <v>5516.76</v>
      </c>
      <c r="U181" s="18">
        <v>4042.14</v>
      </c>
      <c r="V181" s="16" t="s">
        <v>121</v>
      </c>
      <c r="W181" s="16" t="s">
        <v>122</v>
      </c>
      <c r="X181" s="18">
        <f>IF(OR(O181="",P181="",R181=""),"",O181*P181*(1-R181))</f>
        <v>9558.9</v>
      </c>
      <c r="Y181" s="18">
        <f>IF(OR(X181="",T181=""),"",X181-T181)</f>
        <v>4042.14</v>
      </c>
      <c r="Z181" s="19">
        <f>IFERROR(Y181/X181,"")</f>
        <v>0.4229</v>
      </c>
      <c r="AA181" s="16">
        <f>IF(OR(C181="",D181=""),"",D181-C181)</f>
        <v>4</v>
      </c>
      <c r="AB181" s="16">
        <f>IF(C181="","",MONTH(C181))</f>
        <v>3</v>
      </c>
      <c r="AC181" s="16">
        <f>IF(C181="","",YEAR(C181))</f>
        <v>2024</v>
      </c>
      <c r="AD181" s="16" t="s">
        <v>86</v>
      </c>
      <c r="AE181" s="16" t="s">
        <v>66</v>
      </c>
      <c r="AF181" s="16" t="s">
        <v>123</v>
      </c>
    </row>
    <row r="182" spans="1:32" x14ac:dyDescent="0.25">
      <c r="A182" s="1">
        <v>182</v>
      </c>
      <c r="B182" s="1" t="s">
        <v>693</v>
      </c>
      <c r="C182" s="2">
        <v>45529.77083333333</v>
      </c>
      <c r="D182" s="2">
        <v>45529.77083333333</v>
      </c>
      <c r="E182" s="1" t="s">
        <v>694</v>
      </c>
      <c r="F182" s="1" t="s">
        <v>50</v>
      </c>
      <c r="G182" s="1" t="s">
        <v>114</v>
      </c>
      <c r="H182" s="1" t="s">
        <v>36</v>
      </c>
      <c r="I182" s="1" t="s">
        <v>157</v>
      </c>
      <c r="J182" s="1" t="s">
        <v>158</v>
      </c>
      <c r="K182" s="1" t="s">
        <v>39</v>
      </c>
      <c r="L182" s="1" t="s">
        <v>176</v>
      </c>
      <c r="M182" s="1" t="s">
        <v>695</v>
      </c>
      <c r="N182" s="1" t="s">
        <v>64</v>
      </c>
      <c r="O182" s="1">
        <v>7</v>
      </c>
      <c r="P182" s="3">
        <v>844.59</v>
      </c>
      <c r="Q182" s="4">
        <v>0.1</v>
      </c>
      <c r="R182" s="4">
        <v>0.1</v>
      </c>
      <c r="S182" s="3">
        <v>5320.92</v>
      </c>
      <c r="T182" s="3">
        <v>3041.5</v>
      </c>
      <c r="U182" s="3">
        <v>2279.42</v>
      </c>
      <c r="V182" s="1" t="s">
        <v>43</v>
      </c>
      <c r="W182" s="1" t="s">
        <v>44</v>
      </c>
      <c r="X182" s="3">
        <f>IF(OR(O182="",P182="",R182=""),"",O182*P182*(1-R182))</f>
        <v>5320.92</v>
      </c>
      <c r="Y182" s="3">
        <f>IF(OR(X182="",T182=""),"",X182-T182)</f>
        <v>2279.42</v>
      </c>
      <c r="Z182" s="4">
        <f>IFERROR(Y182/X182,"")</f>
        <v>0.4284</v>
      </c>
      <c r="AA182" s="1">
        <f>IF(OR(C182="",D182=""),"",D182-C182)</f>
        <v>0</v>
      </c>
      <c r="AB182" s="1">
        <f>IF(C182="","",MONTH(C182))</f>
        <v>8</v>
      </c>
      <c r="AC182" s="1">
        <f>IF(C182="","",YEAR(C182))</f>
        <v>2024</v>
      </c>
      <c r="AD182" s="1" t="s">
        <v>45</v>
      </c>
      <c r="AE182" s="1" t="s">
        <v>46</v>
      </c>
      <c r="AF182" s="1" t="s">
        <v>47</v>
      </c>
    </row>
    <row r="183" spans="1:32" x14ac:dyDescent="0.25">
      <c r="A183" s="1">
        <v>183</v>
      </c>
      <c r="B183" s="1" t="s">
        <v>696</v>
      </c>
      <c r="C183" s="2">
        <v>45908.77083333333</v>
      </c>
      <c r="D183" s="2">
        <v>45909.77083333333</v>
      </c>
      <c r="E183" s="1" t="s">
        <v>697</v>
      </c>
      <c r="F183" s="1" t="s">
        <v>135</v>
      </c>
      <c r="G183" s="1" t="s">
        <v>114</v>
      </c>
      <c r="H183" s="1" t="s">
        <v>71</v>
      </c>
      <c r="I183" s="1" t="s">
        <v>277</v>
      </c>
      <c r="J183" s="1" t="s">
        <v>278</v>
      </c>
      <c r="K183" s="1" t="s">
        <v>39</v>
      </c>
      <c r="L183" s="1" t="s">
        <v>62</v>
      </c>
      <c r="M183" s="1" t="s">
        <v>698</v>
      </c>
      <c r="N183" s="1" t="s">
        <v>42</v>
      </c>
      <c r="O183" s="1">
        <v>4</v>
      </c>
      <c r="P183" s="3">
        <v>2551.45</v>
      </c>
      <c r="Q183" s="4">
        <v>0</v>
      </c>
      <c r="R183" s="4">
        <v>0</v>
      </c>
      <c r="S183" s="3">
        <v>10205.8</v>
      </c>
      <c r="T183" s="3">
        <v>5986.31</v>
      </c>
      <c r="U183" s="3">
        <v>4219.49</v>
      </c>
      <c r="V183" s="1" t="s">
        <v>43</v>
      </c>
      <c r="W183" s="1" t="s">
        <v>44</v>
      </c>
      <c r="X183" s="3">
        <f>IF(OR(O183="",P183="",R183=""),"",O183*P183*(1-R183))</f>
        <v>10205.8</v>
      </c>
      <c r="Y183" s="3">
        <f>IF(OR(X183="",T183=""),"",X183-T183)</f>
        <v>4219.49</v>
      </c>
      <c r="Z183" s="4">
        <f>IFERROR(Y183/X183,"")</f>
        <v>0.4134</v>
      </c>
      <c r="AA183" s="1">
        <f>IF(OR(C183="",D183=""),"",D183-C183)</f>
        <v>1</v>
      </c>
      <c r="AB183" s="1">
        <f>IF(C183="","",MONTH(C183))</f>
        <v>9</v>
      </c>
      <c r="AC183" s="1">
        <f>IF(C183="","",YEAR(C183))</f>
        <v>2025</v>
      </c>
      <c r="AD183" s="1" t="s">
        <v>45</v>
      </c>
      <c r="AE183" s="1" t="s">
        <v>46</v>
      </c>
      <c r="AF183" s="1" t="s">
        <v>47</v>
      </c>
    </row>
    <row r="184" spans="1:32" x14ac:dyDescent="0.25">
      <c r="A184" s="1">
        <v>184</v>
      </c>
      <c r="B184" s="1" t="s">
        <v>699</v>
      </c>
      <c r="C184" s="2">
        <v>45580.77083333333</v>
      </c>
      <c r="D184" s="2">
        <v>45580.77083333333</v>
      </c>
      <c r="E184" s="1" t="s">
        <v>700</v>
      </c>
      <c r="F184" s="1" t="s">
        <v>79</v>
      </c>
      <c r="G184" s="1" t="s">
        <v>114</v>
      </c>
      <c r="H184" s="1" t="s">
        <v>52</v>
      </c>
      <c r="I184" s="1" t="s">
        <v>168</v>
      </c>
      <c r="J184" s="1" t="s">
        <v>169</v>
      </c>
      <c r="K184" s="1" t="s">
        <v>93</v>
      </c>
      <c r="L184" s="1" t="s">
        <v>305</v>
      </c>
      <c r="M184" s="1" t="s">
        <v>701</v>
      </c>
      <c r="N184" s="1" t="s">
        <v>76</v>
      </c>
      <c r="O184" s="1">
        <v>7</v>
      </c>
      <c r="P184" s="3">
        <v>775.77</v>
      </c>
      <c r="Q184" s="4">
        <v>0</v>
      </c>
      <c r="R184" s="4">
        <v>0</v>
      </c>
      <c r="S184" s="3">
        <v>5430.39</v>
      </c>
      <c r="T184" s="3">
        <v>3707.66</v>
      </c>
      <c r="U184" s="3">
        <v>1722.73</v>
      </c>
      <c r="V184" s="1" t="s">
        <v>43</v>
      </c>
      <c r="W184" s="1" t="s">
        <v>44</v>
      </c>
      <c r="X184" s="3">
        <f>IF(OR(O184="",P184="",R184=""),"",O184*P184*(1-R184))</f>
        <v>5430.39</v>
      </c>
      <c r="Y184" s="3">
        <f>IF(OR(X184="",T184=""),"",X184-T184)</f>
        <v>1722.73</v>
      </c>
      <c r="Z184" s="4">
        <f>IFERROR(Y184/X184,"")</f>
        <v>0.3172</v>
      </c>
      <c r="AA184" s="1">
        <f>IF(OR(C184="",D184=""),"",D184-C184)</f>
        <v>0</v>
      </c>
      <c r="AB184" s="1">
        <f>IF(C184="","",MONTH(C184))</f>
        <v>10</v>
      </c>
      <c r="AC184" s="1">
        <f>IF(C184="","",YEAR(C184))</f>
        <v>2024</v>
      </c>
      <c r="AD184" s="1" t="s">
        <v>45</v>
      </c>
      <c r="AE184" s="1" t="s">
        <v>46</v>
      </c>
      <c r="AF184" s="1" t="s">
        <v>47</v>
      </c>
    </row>
    <row r="185" spans="1:32" s="15" customFormat="1" x14ac:dyDescent="0.25">
      <c r="A185" s="16">
        <v>185</v>
      </c>
      <c r="B185" s="16" t="s">
        <v>702</v>
      </c>
      <c r="C185" s="17">
        <v>45831.77083333333</v>
      </c>
      <c r="D185" s="17">
        <v>45834.77083333333</v>
      </c>
      <c r="E185" s="16" t="s">
        <v>703</v>
      </c>
      <c r="F185" s="16" t="s">
        <v>90</v>
      </c>
      <c r="G185" s="16" t="s">
        <v>114</v>
      </c>
      <c r="H185" s="16" t="s">
        <v>71</v>
      </c>
      <c r="I185" s="16" t="s">
        <v>72</v>
      </c>
      <c r="J185" s="16" t="s">
        <v>73</v>
      </c>
      <c r="K185" s="16" t="s">
        <v>93</v>
      </c>
      <c r="L185" s="16" t="s">
        <v>99</v>
      </c>
      <c r="M185" s="16" t="s">
        <v>704</v>
      </c>
      <c r="N185" s="16" t="s">
        <v>76</v>
      </c>
      <c r="O185" s="16">
        <v>7</v>
      </c>
      <c r="P185" s="18">
        <v>2304.86</v>
      </c>
      <c r="Q185" s="19">
        <v>0.2</v>
      </c>
      <c r="R185" s="19">
        <v>0.2</v>
      </c>
      <c r="S185" s="18">
        <v>12907.22</v>
      </c>
      <c r="T185" s="18">
        <v>8327.89</v>
      </c>
      <c r="U185" s="18">
        <v>4579.33</v>
      </c>
      <c r="V185" s="16" t="s">
        <v>43</v>
      </c>
      <c r="W185" s="16" t="s">
        <v>122</v>
      </c>
      <c r="X185" s="18">
        <f>IF(OR(O185="",P185="",R185=""),"",O185*P185*(1-R185))</f>
        <v>12907.22</v>
      </c>
      <c r="Y185" s="18">
        <f>IF(OR(X185="",T185=""),"",X185-T185)</f>
        <v>4579.33</v>
      </c>
      <c r="Z185" s="19">
        <f>IFERROR(Y185/X185,"")</f>
        <v>0.3548</v>
      </c>
      <c r="AA185" s="16">
        <f>IF(OR(C185="",D185=""),"",D185-C185)</f>
        <v>3</v>
      </c>
      <c r="AB185" s="16">
        <f>IF(C185="","",MONTH(C185))</f>
        <v>6</v>
      </c>
      <c r="AC185" s="16">
        <f>IF(C185="","",YEAR(C185))</f>
        <v>2025</v>
      </c>
      <c r="AD185" s="16" t="s">
        <v>86</v>
      </c>
      <c r="AE185" s="16" t="s">
        <v>66</v>
      </c>
      <c r="AF185" s="16" t="s">
        <v>198</v>
      </c>
    </row>
    <row r="186" spans="1:32" s="15" customFormat="1" x14ac:dyDescent="0.25">
      <c r="A186" s="16">
        <v>186</v>
      </c>
      <c r="B186" s="16" t="s">
        <v>705</v>
      </c>
      <c r="C186" s="17">
        <v>45383.77083333333</v>
      </c>
      <c r="D186" s="17">
        <v>45387.77083333333</v>
      </c>
      <c r="E186" s="16" t="s">
        <v>706</v>
      </c>
      <c r="F186" s="16" t="s">
        <v>90</v>
      </c>
      <c r="G186" s="16" t="s">
        <v>109</v>
      </c>
      <c r="H186" s="16" t="s">
        <v>80</v>
      </c>
      <c r="I186" s="16" t="s">
        <v>91</v>
      </c>
      <c r="J186" s="16" t="s">
        <v>92</v>
      </c>
      <c r="K186" s="16" t="s">
        <v>55</v>
      </c>
      <c r="L186" s="16" t="s">
        <v>182</v>
      </c>
      <c r="M186" s="16" t="s">
        <v>707</v>
      </c>
      <c r="N186" s="16" t="s">
        <v>76</v>
      </c>
      <c r="O186" s="16">
        <v>2</v>
      </c>
      <c r="P186" s="18">
        <v>888.98</v>
      </c>
      <c r="Q186" s="19">
        <v>0</v>
      </c>
      <c r="R186" s="19">
        <v>0</v>
      </c>
      <c r="S186" s="18">
        <v>1777.96</v>
      </c>
      <c r="T186" s="18">
        <v>1021.16</v>
      </c>
      <c r="U186" s="18">
        <v>756.8</v>
      </c>
      <c r="V186" s="16" t="s">
        <v>121</v>
      </c>
      <c r="W186" s="16" t="s">
        <v>122</v>
      </c>
      <c r="X186" s="18">
        <f>IF(OR(O186="",P186="",R186=""),"",O186*P186*(1-R186))</f>
        <v>1777.96</v>
      </c>
      <c r="Y186" s="18">
        <f>IF(OR(X186="",T186=""),"",X186-T186)</f>
        <v>756.8</v>
      </c>
      <c r="Z186" s="19">
        <f>IFERROR(Y186/X186,"")</f>
        <v>0.4257</v>
      </c>
      <c r="AA186" s="16">
        <f>IF(OR(C186="",D186=""),"",D186-C186)</f>
        <v>4</v>
      </c>
      <c r="AB186" s="16">
        <f>IF(C186="","",MONTH(C186))</f>
        <v>4</v>
      </c>
      <c r="AC186" s="16">
        <f>IF(C186="","",YEAR(C186))</f>
        <v>2024</v>
      </c>
      <c r="AD186" s="16" t="s">
        <v>86</v>
      </c>
      <c r="AE186" s="16" t="s">
        <v>66</v>
      </c>
      <c r="AF186" s="16" t="s">
        <v>123</v>
      </c>
    </row>
    <row r="187" spans="1:32" s="15" customFormat="1" x14ac:dyDescent="0.25">
      <c r="A187" s="16">
        <v>187</v>
      </c>
      <c r="B187" s="16" t="s">
        <v>708</v>
      </c>
      <c r="C187" s="17">
        <v>45600.77083333333</v>
      </c>
      <c r="D187" s="17">
        <v>45608.77083333333</v>
      </c>
      <c r="E187" s="16" t="s">
        <v>709</v>
      </c>
      <c r="F187" s="16" t="s">
        <v>70</v>
      </c>
      <c r="G187" s="16" t="s">
        <v>35</v>
      </c>
      <c r="H187" s="16" t="s">
        <v>232</v>
      </c>
      <c r="I187" s="16" t="s">
        <v>143</v>
      </c>
      <c r="J187" s="16" t="s">
        <v>144</v>
      </c>
      <c r="K187" s="16" t="s">
        <v>39</v>
      </c>
      <c r="L187" s="16" t="s">
        <v>110</v>
      </c>
      <c r="M187" s="16" t="s">
        <v>710</v>
      </c>
      <c r="N187" s="16" t="s">
        <v>42</v>
      </c>
      <c r="O187" s="16">
        <v>2</v>
      </c>
      <c r="P187" s="18">
        <v>1003.17</v>
      </c>
      <c r="Q187" s="19">
        <v>0.2</v>
      </c>
      <c r="R187" s="19">
        <v>0.2</v>
      </c>
      <c r="S187" s="18">
        <v>1605.07</v>
      </c>
      <c r="T187" s="18">
        <v>1337.28</v>
      </c>
      <c r="U187" s="18">
        <v>267.79</v>
      </c>
      <c r="V187" s="16" t="s">
        <v>43</v>
      </c>
      <c r="W187" s="16" t="s">
        <v>44</v>
      </c>
      <c r="X187" s="18">
        <f>IF(OR(O187="",P187="",R187=""),"",O187*P187*(1-R187))</f>
        <v>1605.07</v>
      </c>
      <c r="Y187" s="18">
        <f>IF(OR(X187="",T187=""),"",X187-T187)</f>
        <v>267.79</v>
      </c>
      <c r="Z187" s="19">
        <f>IFERROR(Y187/X187,"")</f>
        <v>0.1668</v>
      </c>
      <c r="AA187" s="16">
        <f>IF(OR(C187="",D187=""),"",D187-C187)</f>
        <v>8</v>
      </c>
      <c r="AB187" s="16">
        <f>IF(C187="","",MONTH(C187))</f>
        <v>11</v>
      </c>
      <c r="AC187" s="16">
        <f>IF(C187="","",YEAR(C187))</f>
        <v>2024</v>
      </c>
      <c r="AD187" s="16" t="s">
        <v>86</v>
      </c>
      <c r="AE187" s="16" t="s">
        <v>46</v>
      </c>
      <c r="AF187" s="16" t="s">
        <v>487</v>
      </c>
    </row>
    <row r="188" spans="1:32" x14ac:dyDescent="0.25">
      <c r="A188" s="1">
        <v>188</v>
      </c>
      <c r="B188" s="1" t="s">
        <v>711</v>
      </c>
      <c r="C188" s="2">
        <v>45491.77083333333</v>
      </c>
      <c r="D188" s="2">
        <v>45492.77083333333</v>
      </c>
      <c r="E188" s="1" t="s">
        <v>293</v>
      </c>
      <c r="F188" s="1" t="s">
        <v>90</v>
      </c>
      <c r="G188" s="1" t="s">
        <v>35</v>
      </c>
      <c r="H188" s="1" t="s">
        <v>71</v>
      </c>
      <c r="I188" s="1" t="s">
        <v>277</v>
      </c>
      <c r="J188" s="1" t="s">
        <v>278</v>
      </c>
      <c r="K188" s="1" t="s">
        <v>55</v>
      </c>
      <c r="L188" s="1" t="s">
        <v>56</v>
      </c>
      <c r="M188" s="1" t="s">
        <v>712</v>
      </c>
      <c r="N188" s="1" t="s">
        <v>64</v>
      </c>
      <c r="O188" s="1">
        <v>7</v>
      </c>
      <c r="P188" s="3">
        <v>3608.43</v>
      </c>
      <c r="Q188" s="4">
        <v>0.05</v>
      </c>
      <c r="R188" s="4">
        <v>0.05</v>
      </c>
      <c r="S188" s="3">
        <v>23996.06</v>
      </c>
      <c r="T188" s="3">
        <v>20167.28</v>
      </c>
      <c r="U188" s="3">
        <v>3828.78</v>
      </c>
      <c r="V188" s="1" t="s">
        <v>43</v>
      </c>
      <c r="W188" s="1" t="s">
        <v>44</v>
      </c>
      <c r="X188" s="3">
        <f>IF(OR(O188="",P188="",R188=""),"",O188*P188*(1-R188))</f>
        <v>23996.06</v>
      </c>
      <c r="Y188" s="3">
        <f>IF(OR(X188="",T188=""),"",X188-T188)</f>
        <v>3828.78</v>
      </c>
      <c r="Z188" s="4">
        <f>IFERROR(Y188/X188,"")</f>
        <v>0.1596</v>
      </c>
      <c r="AA188" s="1">
        <f>IF(OR(C188="",D188=""),"",D188-C188)</f>
        <v>1</v>
      </c>
      <c r="AB188" s="1">
        <f>IF(C188="","",MONTH(C188))</f>
        <v>7</v>
      </c>
      <c r="AC188" s="1">
        <f>IF(C188="","",YEAR(C188))</f>
        <v>2024</v>
      </c>
      <c r="AD188" s="1" t="s">
        <v>45</v>
      </c>
      <c r="AE188" s="1" t="s">
        <v>46</v>
      </c>
      <c r="AF188" s="1" t="s">
        <v>47</v>
      </c>
    </row>
    <row r="189" spans="1:32" s="15" customFormat="1" x14ac:dyDescent="0.25">
      <c r="A189" s="16">
        <v>189</v>
      </c>
      <c r="B189" s="16" t="s">
        <v>713</v>
      </c>
      <c r="C189" s="17">
        <v>45777.77083333333</v>
      </c>
      <c r="D189" s="17">
        <v>45778.77083333333</v>
      </c>
      <c r="E189" s="16" t="s">
        <v>714</v>
      </c>
      <c r="F189" s="16" t="s">
        <v>50</v>
      </c>
      <c r="G189" s="16" t="s">
        <v>35</v>
      </c>
      <c r="H189" s="16" t="s">
        <v>80</v>
      </c>
      <c r="I189" s="16" t="s">
        <v>91</v>
      </c>
      <c r="J189" s="16" t="s">
        <v>92</v>
      </c>
      <c r="K189" s="16" t="s">
        <v>55</v>
      </c>
      <c r="L189" s="16" t="s">
        <v>83</v>
      </c>
      <c r="M189" s="16" t="s">
        <v>715</v>
      </c>
      <c r="N189" s="16" t="s">
        <v>58</v>
      </c>
      <c r="O189" s="16">
        <v>3</v>
      </c>
      <c r="P189" s="18">
        <v>2905.74</v>
      </c>
      <c r="Q189" s="19">
        <v>0</v>
      </c>
      <c r="R189" s="19">
        <v>0</v>
      </c>
      <c r="S189" s="18">
        <v>8717.22</v>
      </c>
      <c r="T189" s="18">
        <v>6215.96</v>
      </c>
      <c r="U189" s="18">
        <v>2501.26</v>
      </c>
      <c r="V189" s="16" t="s">
        <v>43</v>
      </c>
      <c r="W189" s="16" t="s">
        <v>122</v>
      </c>
      <c r="X189" s="18">
        <f>IF(OR(O189="",P189="",R189=""),"",O189*P189*(1-R189))</f>
        <v>8717.22</v>
      </c>
      <c r="Y189" s="18">
        <f>IF(OR(X189="",T189=""),"",X189-T189)</f>
        <v>2501.26</v>
      </c>
      <c r="Z189" s="19">
        <f>IFERROR(Y189/X189,"")</f>
        <v>0.2869</v>
      </c>
      <c r="AA189" s="16">
        <f>IF(OR(C189="",D189=""),"",D189-C189)</f>
        <v>1</v>
      </c>
      <c r="AB189" s="16">
        <f>IF(C189="","",MONTH(C189))</f>
        <v>5</v>
      </c>
      <c r="AC189" s="16">
        <f>IF(C189="","",YEAR(C189))</f>
        <v>2025</v>
      </c>
      <c r="AD189" s="16" t="s">
        <v>86</v>
      </c>
      <c r="AE189" s="16" t="s">
        <v>66</v>
      </c>
      <c r="AF189" s="16" t="s">
        <v>198</v>
      </c>
    </row>
    <row r="190" spans="1:32" s="10" customFormat="1" x14ac:dyDescent="0.25">
      <c r="A190" s="11">
        <v>190</v>
      </c>
      <c r="B190" s="11" t="s">
        <v>716</v>
      </c>
      <c r="C190" s="12">
        <v>45797.77083333333</v>
      </c>
      <c r="D190" s="12">
        <v>45804.77083333333</v>
      </c>
      <c r="E190" s="11" t="s">
        <v>717</v>
      </c>
      <c r="F190" s="11" t="s">
        <v>135</v>
      </c>
      <c r="G190" s="11" t="s">
        <v>109</v>
      </c>
      <c r="H190" s="11" t="s">
        <v>52</v>
      </c>
      <c r="I190" s="11" t="s">
        <v>118</v>
      </c>
      <c r="J190" s="11" t="s">
        <v>119</v>
      </c>
      <c r="K190" s="11" t="s">
        <v>55</v>
      </c>
      <c r="L190" s="11" t="s">
        <v>182</v>
      </c>
      <c r="M190" s="11" t="s">
        <v>718</v>
      </c>
      <c r="N190" s="11" t="s">
        <v>58</v>
      </c>
      <c r="O190" s="11">
        <v>2</v>
      </c>
      <c r="P190" s="13">
        <v>3559.57</v>
      </c>
      <c r="Q190" s="14">
        <v>0.1</v>
      </c>
      <c r="R190" s="14">
        <v>0.1</v>
      </c>
      <c r="S190" s="13">
        <v>6553.95</v>
      </c>
      <c r="T190" s="13">
        <v>4923.09</v>
      </c>
      <c r="U190" s="13">
        <v>1484.14</v>
      </c>
      <c r="V190" s="11" t="s">
        <v>43</v>
      </c>
      <c r="W190" s="11" t="s">
        <v>44</v>
      </c>
      <c r="X190" s="13">
        <f>IF(OR(O190="",P190="",R190=""),"",O190*P190*(1-R190))</f>
        <v>6407.23</v>
      </c>
      <c r="Y190" s="13">
        <f>IF(OR(X190="",T190=""),"",X190-T190)</f>
        <v>1484.14</v>
      </c>
      <c r="Z190" s="14">
        <f>IFERROR(Y190/X190,"")</f>
        <v>0.2316</v>
      </c>
      <c r="AA190" s="11">
        <f>IF(OR(C190="",D190=""),"",D190-C190)</f>
        <v>7</v>
      </c>
      <c r="AB190" s="11">
        <f>IF(C190="","",MONTH(C190))</f>
        <v>5</v>
      </c>
      <c r="AC190" s="11">
        <f>IF(C190="","",YEAR(C190))</f>
        <v>2025</v>
      </c>
      <c r="AD190" s="11" t="s">
        <v>65</v>
      </c>
      <c r="AE190" s="11" t="s">
        <v>66</v>
      </c>
      <c r="AF190" s="11" t="s">
        <v>719</v>
      </c>
    </row>
    <row r="191" spans="1:32" s="10" customFormat="1" x14ac:dyDescent="0.25">
      <c r="A191" s="11">
        <v>191</v>
      </c>
      <c r="B191" s="11" t="s">
        <v>720</v>
      </c>
      <c r="C191" s="12">
        <v>45782.77083333333</v>
      </c>
      <c r="D191" s="12">
        <v>45783.77083333333</v>
      </c>
      <c r="E191" s="11" t="s">
        <v>721</v>
      </c>
      <c r="F191" s="11" t="s">
        <v>70</v>
      </c>
      <c r="G191" s="11" t="s">
        <v>35</v>
      </c>
      <c r="H191" s="11" t="s">
        <v>80</v>
      </c>
      <c r="I191" s="11" t="s">
        <v>37</v>
      </c>
      <c r="J191" s="11" t="s">
        <v>129</v>
      </c>
      <c r="K191" s="11" t="s">
        <v>55</v>
      </c>
      <c r="L191" s="11" t="s">
        <v>182</v>
      </c>
      <c r="M191" s="11" t="s">
        <v>722</v>
      </c>
      <c r="N191" s="11" t="s">
        <v>64</v>
      </c>
      <c r="O191" s="11">
        <v>9</v>
      </c>
      <c r="P191" s="13">
        <v>3318.24</v>
      </c>
      <c r="Q191" s="14"/>
      <c r="R191" s="14">
        <v>0</v>
      </c>
      <c r="S191" s="13">
        <v>25384.54</v>
      </c>
      <c r="T191" s="13">
        <v>16872.39</v>
      </c>
      <c r="U191" s="13">
        <v>8512.15</v>
      </c>
      <c r="V191" s="11" t="s">
        <v>43</v>
      </c>
      <c r="W191" s="11" t="s">
        <v>44</v>
      </c>
      <c r="X191" s="13">
        <f>IF(OR(O191="",P191="",R191=""),"",O191*P191*(1-R191))</f>
        <v>29864.16</v>
      </c>
      <c r="Y191" s="13">
        <f>IF(OR(X191="",T191=""),"",X191-T191)</f>
        <v>12991.77</v>
      </c>
      <c r="Z191" s="14">
        <f>IFERROR(Y191/X191,"")</f>
        <v>0.435</v>
      </c>
      <c r="AA191" s="11">
        <f>IF(OR(C191="",D191=""),"",D191-C191)</f>
        <v>1</v>
      </c>
      <c r="AB191" s="11">
        <f>IF(C191="","",MONTH(C191))</f>
        <v>5</v>
      </c>
      <c r="AC191" s="11">
        <f>IF(C191="","",YEAR(C191))</f>
        <v>2025</v>
      </c>
      <c r="AD191" s="11" t="s">
        <v>65</v>
      </c>
      <c r="AE191" s="11" t="s">
        <v>66</v>
      </c>
      <c r="AF191" s="11" t="s">
        <v>225</v>
      </c>
    </row>
    <row r="192" spans="1:32" x14ac:dyDescent="0.25">
      <c r="A192" s="1">
        <v>192</v>
      </c>
      <c r="B192" s="1" t="s">
        <v>723</v>
      </c>
      <c r="C192" s="2">
        <v>45766.77083333333</v>
      </c>
      <c r="D192" s="2">
        <v>45767.77083333333</v>
      </c>
      <c r="E192" s="1" t="s">
        <v>724</v>
      </c>
      <c r="F192" s="1" t="s">
        <v>108</v>
      </c>
      <c r="G192" s="1" t="s">
        <v>35</v>
      </c>
      <c r="H192" s="1" t="s">
        <v>71</v>
      </c>
      <c r="I192" s="1" t="s">
        <v>277</v>
      </c>
      <c r="J192" s="1" t="s">
        <v>278</v>
      </c>
      <c r="K192" s="1" t="s">
        <v>39</v>
      </c>
      <c r="L192" s="1" t="s">
        <v>145</v>
      </c>
      <c r="M192" s="1" t="s">
        <v>725</v>
      </c>
      <c r="N192" s="1" t="s">
        <v>64</v>
      </c>
      <c r="O192" s="1">
        <v>3</v>
      </c>
      <c r="P192" s="3">
        <v>540.09</v>
      </c>
      <c r="Q192" s="4">
        <v>0.1</v>
      </c>
      <c r="R192" s="4">
        <v>0.1</v>
      </c>
      <c r="S192" s="3">
        <v>1458.24</v>
      </c>
      <c r="T192" s="3">
        <v>943.32</v>
      </c>
      <c r="U192" s="3">
        <v>514.92</v>
      </c>
      <c r="V192" s="1" t="s">
        <v>43</v>
      </c>
      <c r="W192" s="1" t="s">
        <v>44</v>
      </c>
      <c r="X192" s="3">
        <f>IF(OR(O192="",P192="",R192=""),"",O192*P192*(1-R192))</f>
        <v>1458.24</v>
      </c>
      <c r="Y192" s="3">
        <f>IF(OR(X192="",T192=""),"",X192-T192)</f>
        <v>514.92</v>
      </c>
      <c r="Z192" s="4">
        <f>IFERROR(Y192/X192,"")</f>
        <v>0.3531</v>
      </c>
      <c r="AA192" s="1">
        <f>IF(OR(C192="",D192=""),"",D192-C192)</f>
        <v>1</v>
      </c>
      <c r="AB192" s="1">
        <f>IF(C192="","",MONTH(C192))</f>
        <v>4</v>
      </c>
      <c r="AC192" s="1">
        <f>IF(C192="","",YEAR(C192))</f>
        <v>2025</v>
      </c>
      <c r="AD192" s="1" t="s">
        <v>45</v>
      </c>
      <c r="AE192" s="1" t="s">
        <v>46</v>
      </c>
      <c r="AF192" s="1" t="s">
        <v>47</v>
      </c>
    </row>
    <row r="193" spans="1:32" s="10" customFormat="1" x14ac:dyDescent="0.25">
      <c r="A193" s="11">
        <v>193</v>
      </c>
      <c r="B193" s="11" t="s">
        <v>726</v>
      </c>
      <c r="C193" s="12">
        <v>45583.77083333333</v>
      </c>
      <c r="D193" s="12">
        <v>45588.77083333333</v>
      </c>
      <c r="E193" s="11" t="s">
        <v>727</v>
      </c>
      <c r="F193" s="11" t="s">
        <v>153</v>
      </c>
      <c r="G193" s="11" t="s">
        <v>51</v>
      </c>
      <c r="H193" s="11" t="s">
        <v>71</v>
      </c>
      <c r="I193" s="11" t="s">
        <v>277</v>
      </c>
      <c r="J193" s="11" t="s">
        <v>278</v>
      </c>
      <c r="K193" s="11" t="s">
        <v>55</v>
      </c>
      <c r="L193" s="11" t="s">
        <v>182</v>
      </c>
      <c r="M193" s="11" t="s">
        <v>728</v>
      </c>
      <c r="N193" s="11" t="s">
        <v>42</v>
      </c>
      <c r="O193" s="11">
        <v>6</v>
      </c>
      <c r="P193" s="13">
        <v>4308.4</v>
      </c>
      <c r="Q193" s="14">
        <v>0.65</v>
      </c>
      <c r="R193" s="14">
        <v>0.65</v>
      </c>
      <c r="S193" s="13">
        <v>25850.4</v>
      </c>
      <c r="T193" s="13">
        <v>19397.68</v>
      </c>
      <c r="U193" s="13">
        <v>6452.72</v>
      </c>
      <c r="V193" s="11" t="s">
        <v>43</v>
      </c>
      <c r="W193" s="11" t="s">
        <v>44</v>
      </c>
      <c r="X193" s="13">
        <f>IF(OR(O193="",P193="",R193=""),"",O193*P193*(1-R193))</f>
        <v>9047.64</v>
      </c>
      <c r="Y193" s="13">
        <f>IF(OR(X193="",T193=""),"",X193-T193)</f>
        <v>-10350.04</v>
      </c>
      <c r="Z193" s="14">
        <f>IFERROR(Y193/X193,"")</f>
        <v>-1.1439</v>
      </c>
      <c r="AA193" s="11">
        <f>IF(OR(C193="",D193=""),"",D193-C193)</f>
        <v>5</v>
      </c>
      <c r="AB193" s="11">
        <f>IF(C193="","",MONTH(C193))</f>
        <v>10</v>
      </c>
      <c r="AC193" s="11">
        <f>IF(C193="","",YEAR(C193))</f>
        <v>2024</v>
      </c>
      <c r="AD193" s="11" t="s">
        <v>65</v>
      </c>
      <c r="AE193" s="11" t="s">
        <v>66</v>
      </c>
      <c r="AF193" s="11" t="s">
        <v>67</v>
      </c>
    </row>
    <row r="194" spans="1:32" x14ac:dyDescent="0.25">
      <c r="A194" s="1">
        <v>194</v>
      </c>
      <c r="B194" s="1" t="s">
        <v>729</v>
      </c>
      <c r="C194" s="2">
        <v>45634.77083333333</v>
      </c>
      <c r="D194" s="2">
        <v>45641.77083333333</v>
      </c>
      <c r="E194" s="1" t="s">
        <v>730</v>
      </c>
      <c r="F194" s="1" t="s">
        <v>61</v>
      </c>
      <c r="G194" s="1" t="s">
        <v>114</v>
      </c>
      <c r="H194" s="1" t="s">
        <v>80</v>
      </c>
      <c r="I194" s="1" t="s">
        <v>206</v>
      </c>
      <c r="J194" s="1" t="s">
        <v>207</v>
      </c>
      <c r="K194" s="1" t="s">
        <v>55</v>
      </c>
      <c r="L194" s="1" t="s">
        <v>83</v>
      </c>
      <c r="M194" s="1" t="s">
        <v>731</v>
      </c>
      <c r="N194" s="1" t="s">
        <v>64</v>
      </c>
      <c r="O194" s="1">
        <v>4</v>
      </c>
      <c r="P194" s="3">
        <v>2191.03</v>
      </c>
      <c r="Q194" s="4">
        <v>0</v>
      </c>
      <c r="R194" s="4">
        <v>0</v>
      </c>
      <c r="S194" s="3">
        <v>8764.12</v>
      </c>
      <c r="T194" s="3">
        <v>7220.05</v>
      </c>
      <c r="U194" s="3">
        <v>1544.07</v>
      </c>
      <c r="V194" s="1" t="s">
        <v>43</v>
      </c>
      <c r="W194" s="1" t="s">
        <v>44</v>
      </c>
      <c r="X194" s="3">
        <f>IF(OR(O194="",P194="",R194=""),"",O194*P194*(1-R194))</f>
        <v>8764.12</v>
      </c>
      <c r="Y194" s="3">
        <f>IF(OR(X194="",T194=""),"",X194-T194)</f>
        <v>1544.07</v>
      </c>
      <c r="Z194" s="4">
        <f>IFERROR(Y194/X194,"")</f>
        <v>0.1762</v>
      </c>
      <c r="AA194" s="1">
        <f>IF(OR(C194="",D194=""),"",D194-C194)</f>
        <v>7</v>
      </c>
      <c r="AB194" s="1">
        <f>IF(C194="","",MONTH(C194))</f>
        <v>12</v>
      </c>
      <c r="AC194" s="1">
        <f>IF(C194="","",YEAR(C194))</f>
        <v>2024</v>
      </c>
      <c r="AD194" s="1" t="s">
        <v>45</v>
      </c>
      <c r="AE194" s="1" t="s">
        <v>46</v>
      </c>
      <c r="AF194" s="1" t="s">
        <v>47</v>
      </c>
    </row>
    <row r="195" spans="1:32" s="15" customFormat="1" x14ac:dyDescent="0.25">
      <c r="A195" s="16">
        <v>195</v>
      </c>
      <c r="B195" s="16" t="s">
        <v>732</v>
      </c>
      <c r="C195" s="17">
        <v>45465.77083333333</v>
      </c>
      <c r="D195" s="17">
        <v>45470.77083333333</v>
      </c>
      <c r="E195" s="16" t="s">
        <v>733</v>
      </c>
      <c r="F195" s="16" t="s">
        <v>135</v>
      </c>
      <c r="G195" s="16" t="s">
        <v>51</v>
      </c>
      <c r="H195" s="16" t="s">
        <v>36</v>
      </c>
      <c r="I195" s="16" t="s">
        <v>143</v>
      </c>
      <c r="J195" s="16" t="s">
        <v>144</v>
      </c>
      <c r="K195" s="16" t="s">
        <v>93</v>
      </c>
      <c r="L195" s="16" t="s">
        <v>99</v>
      </c>
      <c r="M195" s="16" t="s">
        <v>734</v>
      </c>
      <c r="N195" s="16" t="s">
        <v>58</v>
      </c>
      <c r="O195" s="16">
        <v>6</v>
      </c>
      <c r="P195" s="18">
        <v>1956.63</v>
      </c>
      <c r="Q195" s="19">
        <v>0.2</v>
      </c>
      <c r="R195" s="19">
        <v>0.2</v>
      </c>
      <c r="S195" s="18">
        <v>9391.82</v>
      </c>
      <c r="T195" s="18">
        <v>6013.22</v>
      </c>
      <c r="U195" s="18">
        <v>3378.6</v>
      </c>
      <c r="V195" s="16" t="s">
        <v>121</v>
      </c>
      <c r="W195" s="16" t="s">
        <v>122</v>
      </c>
      <c r="X195" s="18">
        <f>IF(OR(O195="",P195="",R195=""),"",O195*P195*(1-R195))</f>
        <v>9391.82</v>
      </c>
      <c r="Y195" s="18">
        <f>IF(OR(X195="",T195=""),"",X195-T195)</f>
        <v>3378.6</v>
      </c>
      <c r="Z195" s="19">
        <f>IFERROR(Y195/X195,"")</f>
        <v>0.3597</v>
      </c>
      <c r="AA195" s="16">
        <f>IF(OR(C195="",D195=""),"",D195-C195)</f>
        <v>5</v>
      </c>
      <c r="AB195" s="16">
        <f>IF(C195="","",MONTH(C195))</f>
        <v>6</v>
      </c>
      <c r="AC195" s="16">
        <f>IF(C195="","",YEAR(C195))</f>
        <v>2024</v>
      </c>
      <c r="AD195" s="16" t="s">
        <v>86</v>
      </c>
      <c r="AE195" s="16" t="s">
        <v>66</v>
      </c>
      <c r="AF195" s="16" t="s">
        <v>123</v>
      </c>
    </row>
    <row r="196" spans="1:32" s="15" customFormat="1" x14ac:dyDescent="0.25">
      <c r="A196" s="16">
        <v>196</v>
      </c>
      <c r="B196" s="16" t="s">
        <v>735</v>
      </c>
      <c r="C196" s="17">
        <v>45684.77083333333</v>
      </c>
      <c r="D196" s="17">
        <v>45687.77083333333</v>
      </c>
      <c r="E196" s="16" t="s">
        <v>736</v>
      </c>
      <c r="F196" s="16" t="s">
        <v>135</v>
      </c>
      <c r="G196" s="16" t="s">
        <v>35</v>
      </c>
      <c r="H196" s="16" t="s">
        <v>80</v>
      </c>
      <c r="I196" s="16" t="s">
        <v>81</v>
      </c>
      <c r="J196" s="16" t="s">
        <v>82</v>
      </c>
      <c r="K196" s="16" t="s">
        <v>55</v>
      </c>
      <c r="L196" s="16" t="s">
        <v>74</v>
      </c>
      <c r="M196" s="16" t="s">
        <v>737</v>
      </c>
      <c r="N196" s="16" t="s">
        <v>64</v>
      </c>
      <c r="O196" s="16">
        <v>9</v>
      </c>
      <c r="P196" s="18">
        <v>858.39</v>
      </c>
      <c r="Q196" s="19">
        <v>0.05</v>
      </c>
      <c r="R196" s="19">
        <v>0.05</v>
      </c>
      <c r="S196" s="18">
        <v>7339.23</v>
      </c>
      <c r="T196" s="18">
        <v>5434.12</v>
      </c>
      <c r="U196" s="18">
        <v>1905.11</v>
      </c>
      <c r="V196" s="16" t="s">
        <v>131</v>
      </c>
      <c r="W196" s="16" t="s">
        <v>122</v>
      </c>
      <c r="X196" s="18">
        <f>IF(OR(O196="",P196="",R196=""),"",O196*P196*(1-R196))</f>
        <v>7339.23</v>
      </c>
      <c r="Y196" s="18">
        <f>IF(OR(X196="",T196=""),"",X196-T196)</f>
        <v>1905.11</v>
      </c>
      <c r="Z196" s="19">
        <f>IFERROR(Y196/X196,"")</f>
        <v>0.2596</v>
      </c>
      <c r="AA196" s="16">
        <f>IF(OR(C196="",D196=""),"",D196-C196)</f>
        <v>3</v>
      </c>
      <c r="AB196" s="16">
        <f>IF(C196="","",MONTH(C196))</f>
        <v>1</v>
      </c>
      <c r="AC196" s="16">
        <f>IF(C196="","",YEAR(C196))</f>
        <v>2025</v>
      </c>
      <c r="AD196" s="16" t="s">
        <v>86</v>
      </c>
      <c r="AE196" s="16" t="s">
        <v>66</v>
      </c>
      <c r="AF196" s="16" t="s">
        <v>132</v>
      </c>
    </row>
    <row r="197" spans="1:32" x14ac:dyDescent="0.25">
      <c r="A197" s="1">
        <v>197</v>
      </c>
      <c r="B197" s="1" t="s">
        <v>738</v>
      </c>
      <c r="C197" s="2">
        <v>45859.77083333333</v>
      </c>
      <c r="D197" s="2">
        <v>45861.77083333333</v>
      </c>
      <c r="E197" s="1" t="s">
        <v>739</v>
      </c>
      <c r="F197" s="1" t="s">
        <v>98</v>
      </c>
      <c r="G197" s="1" t="s">
        <v>114</v>
      </c>
      <c r="H197" s="1" t="s">
        <v>71</v>
      </c>
      <c r="I197" s="1" t="s">
        <v>103</v>
      </c>
      <c r="J197" s="1" t="s">
        <v>104</v>
      </c>
      <c r="K197" s="1" t="s">
        <v>55</v>
      </c>
      <c r="L197" s="1" t="s">
        <v>74</v>
      </c>
      <c r="M197" s="1" t="s">
        <v>740</v>
      </c>
      <c r="N197" s="1" t="s">
        <v>58</v>
      </c>
      <c r="O197" s="1">
        <v>5</v>
      </c>
      <c r="P197" s="3">
        <v>1922.83</v>
      </c>
      <c r="Q197" s="4">
        <v>0</v>
      </c>
      <c r="R197" s="4">
        <v>0</v>
      </c>
      <c r="S197" s="3">
        <v>9614.15</v>
      </c>
      <c r="T197" s="3">
        <v>7576.84</v>
      </c>
      <c r="U197" s="3">
        <v>2037.31</v>
      </c>
      <c r="V197" s="1" t="s">
        <v>43</v>
      </c>
      <c r="W197" s="1" t="s">
        <v>44</v>
      </c>
      <c r="X197" s="3">
        <f>IF(OR(O197="",P197="",R197=""),"",O197*P197*(1-R197))</f>
        <v>9614.15</v>
      </c>
      <c r="Y197" s="3">
        <f>IF(OR(X197="",T197=""),"",X197-T197)</f>
        <v>2037.31</v>
      </c>
      <c r="Z197" s="4">
        <f>IFERROR(Y197/X197,"")</f>
        <v>0.2119</v>
      </c>
      <c r="AA197" s="1">
        <f>IF(OR(C197="",D197=""),"",D197-C197)</f>
        <v>2</v>
      </c>
      <c r="AB197" s="1">
        <f>IF(C197="","",MONTH(C197))</f>
        <v>7</v>
      </c>
      <c r="AC197" s="1">
        <f>IF(C197="","",YEAR(C197))</f>
        <v>2025</v>
      </c>
      <c r="AD197" s="1" t="s">
        <v>45</v>
      </c>
      <c r="AE197" s="1" t="s">
        <v>46</v>
      </c>
      <c r="AF197" s="1" t="s">
        <v>47</v>
      </c>
    </row>
    <row r="198" spans="1:32" x14ac:dyDescent="0.25">
      <c r="A198" s="1">
        <v>198</v>
      </c>
      <c r="B198" s="1" t="s">
        <v>741</v>
      </c>
      <c r="C198" s="2">
        <v>45312.77083333333</v>
      </c>
      <c r="D198" s="2">
        <v>45315.77083333333</v>
      </c>
      <c r="E198" s="1" t="s">
        <v>742</v>
      </c>
      <c r="F198" s="1" t="s">
        <v>294</v>
      </c>
      <c r="G198" s="1" t="s">
        <v>114</v>
      </c>
      <c r="H198" s="1" t="s">
        <v>36</v>
      </c>
      <c r="I198" s="1" t="s">
        <v>157</v>
      </c>
      <c r="J198" s="1" t="s">
        <v>158</v>
      </c>
      <c r="K198" s="1" t="s">
        <v>39</v>
      </c>
      <c r="L198" s="1" t="s">
        <v>145</v>
      </c>
      <c r="M198" s="1" t="s">
        <v>743</v>
      </c>
      <c r="N198" s="1" t="s">
        <v>64</v>
      </c>
      <c r="O198" s="1">
        <v>3</v>
      </c>
      <c r="P198" s="3">
        <v>1212.03</v>
      </c>
      <c r="Q198" s="4">
        <v>0.1</v>
      </c>
      <c r="R198" s="4">
        <v>0.1</v>
      </c>
      <c r="S198" s="3">
        <v>3272.48</v>
      </c>
      <c r="T198" s="3">
        <v>2517.44</v>
      </c>
      <c r="U198" s="3">
        <v>755.04</v>
      </c>
      <c r="V198" s="1" t="s">
        <v>43</v>
      </c>
      <c r="W198" s="1" t="s">
        <v>44</v>
      </c>
      <c r="X198" s="3">
        <f>IF(OR(O198="",P198="",R198=""),"",O198*P198*(1-R198))</f>
        <v>3272.48</v>
      </c>
      <c r="Y198" s="3">
        <f>IF(OR(X198="",T198=""),"",X198-T198)</f>
        <v>755.04</v>
      </c>
      <c r="Z198" s="4">
        <f>IFERROR(Y198/X198,"")</f>
        <v>0.2307</v>
      </c>
      <c r="AA198" s="1">
        <f>IF(OR(C198="",D198=""),"",D198-C198)</f>
        <v>3</v>
      </c>
      <c r="AB198" s="1">
        <f>IF(C198="","",MONTH(C198))</f>
        <v>1</v>
      </c>
      <c r="AC198" s="1">
        <f>IF(C198="","",YEAR(C198))</f>
        <v>2024</v>
      </c>
      <c r="AD198" s="1" t="s">
        <v>45</v>
      </c>
      <c r="AE198" s="1" t="s">
        <v>46</v>
      </c>
      <c r="AF198" s="1" t="s">
        <v>47</v>
      </c>
    </row>
    <row r="199" spans="1:32" x14ac:dyDescent="0.25">
      <c r="A199" s="1">
        <v>199</v>
      </c>
      <c r="B199" s="1" t="s">
        <v>744</v>
      </c>
      <c r="C199" s="2">
        <v>45746.77083333333</v>
      </c>
      <c r="D199" s="2">
        <v>45753.77083333333</v>
      </c>
      <c r="E199" s="1" t="s">
        <v>425</v>
      </c>
      <c r="F199" s="1" t="s">
        <v>139</v>
      </c>
      <c r="G199" s="1" t="s">
        <v>51</v>
      </c>
      <c r="H199" s="1" t="s">
        <v>52</v>
      </c>
      <c r="I199" s="1" t="s">
        <v>168</v>
      </c>
      <c r="J199" s="1" t="s">
        <v>169</v>
      </c>
      <c r="K199" s="1" t="s">
        <v>39</v>
      </c>
      <c r="L199" s="1" t="s">
        <v>145</v>
      </c>
      <c r="M199" s="1" t="s">
        <v>745</v>
      </c>
      <c r="N199" s="1" t="s">
        <v>42</v>
      </c>
      <c r="O199" s="1">
        <v>5</v>
      </c>
      <c r="P199" s="3">
        <v>4096.44</v>
      </c>
      <c r="Q199" s="4">
        <v>0.15</v>
      </c>
      <c r="R199" s="4">
        <v>0.15</v>
      </c>
      <c r="S199" s="3">
        <v>17409.87</v>
      </c>
      <c r="T199" s="3">
        <v>14076.25</v>
      </c>
      <c r="U199" s="3">
        <v>3333.62</v>
      </c>
      <c r="V199" s="1" t="s">
        <v>43</v>
      </c>
      <c r="W199" s="1" t="s">
        <v>44</v>
      </c>
      <c r="X199" s="3">
        <f>IF(OR(O199="",P199="",R199=""),"",O199*P199*(1-R199))</f>
        <v>17409.87</v>
      </c>
      <c r="Y199" s="3">
        <f>IF(OR(X199="",T199=""),"",X199-T199)</f>
        <v>3333.62</v>
      </c>
      <c r="Z199" s="4">
        <f>IFERROR(Y199/X199,"")</f>
        <v>0.1915</v>
      </c>
      <c r="AA199" s="1">
        <f>IF(OR(C199="",D199=""),"",D199-C199)</f>
        <v>7</v>
      </c>
      <c r="AB199" s="1">
        <f>IF(C199="","",MONTH(C199))</f>
        <v>3</v>
      </c>
      <c r="AC199" s="1">
        <f>IF(C199="","",YEAR(C199))</f>
        <v>2025</v>
      </c>
      <c r="AD199" s="1" t="s">
        <v>45</v>
      </c>
      <c r="AE199" s="1" t="s">
        <v>46</v>
      </c>
      <c r="AF199" s="1" t="s">
        <v>47</v>
      </c>
    </row>
    <row r="200" spans="1:32" s="15" customFormat="1" x14ac:dyDescent="0.25">
      <c r="A200" s="16">
        <v>200</v>
      </c>
      <c r="B200" s="16" t="s">
        <v>746</v>
      </c>
      <c r="C200" s="17">
        <v>45447.77083333333</v>
      </c>
      <c r="D200" s="17">
        <v>45448.77083333333</v>
      </c>
      <c r="E200" s="16" t="s">
        <v>747</v>
      </c>
      <c r="F200" s="16" t="s">
        <v>153</v>
      </c>
      <c r="G200" s="16" t="s">
        <v>35</v>
      </c>
      <c r="H200" s="16" t="s">
        <v>80</v>
      </c>
      <c r="I200" s="16" t="s">
        <v>206</v>
      </c>
      <c r="J200" s="16" t="s">
        <v>207</v>
      </c>
      <c r="K200" s="16" t="s">
        <v>39</v>
      </c>
      <c r="L200" s="16" t="s">
        <v>62</v>
      </c>
      <c r="M200" s="16" t="s">
        <v>748</v>
      </c>
      <c r="N200" s="16" t="s">
        <v>42</v>
      </c>
      <c r="O200" s="16">
        <v>1</v>
      </c>
      <c r="P200" s="18">
        <v>1184.58</v>
      </c>
      <c r="Q200" s="19">
        <v>0.05</v>
      </c>
      <c r="R200" s="19">
        <v>0.05</v>
      </c>
      <c r="S200" s="18">
        <v>1125.35</v>
      </c>
      <c r="T200" s="18">
        <v>676.97</v>
      </c>
      <c r="U200" s="18">
        <v>448.38</v>
      </c>
      <c r="V200" s="16" t="s">
        <v>178</v>
      </c>
      <c r="W200" s="16" t="s">
        <v>85</v>
      </c>
      <c r="X200" s="18">
        <f>IF(OR(O200="",P200="",R200=""),"",O200*P200*(1-R200))</f>
        <v>1125.35</v>
      </c>
      <c r="Y200" s="18">
        <f>IF(OR(X200="",T200=""),"",X200-T200)</f>
        <v>448.38</v>
      </c>
      <c r="Z200" s="19">
        <f>IFERROR(Y200/X200,"")</f>
        <v>0.3984</v>
      </c>
      <c r="AA200" s="16">
        <f>IF(OR(C200="",D200=""),"",D200-C200)</f>
        <v>1</v>
      </c>
      <c r="AB200" s="16">
        <f>IF(C200="","",MONTH(C200))</f>
        <v>6</v>
      </c>
      <c r="AC200" s="16">
        <f>IF(C200="","",YEAR(C200))</f>
        <v>2024</v>
      </c>
      <c r="AD200" s="16" t="s">
        <v>86</v>
      </c>
      <c r="AE200" s="16" t="s">
        <v>66</v>
      </c>
      <c r="AF200" s="16" t="s">
        <v>296</v>
      </c>
    </row>
    <row r="201" spans="1:32" s="15" customFormat="1" x14ac:dyDescent="0.25">
      <c r="A201" s="16">
        <v>201</v>
      </c>
      <c r="B201" s="16" t="s">
        <v>749</v>
      </c>
      <c r="C201" s="17">
        <v>45362.77083333333</v>
      </c>
      <c r="D201" s="17">
        <v>45362.77083333333</v>
      </c>
      <c r="E201" s="16" t="s">
        <v>750</v>
      </c>
      <c r="F201" s="16" t="s">
        <v>139</v>
      </c>
      <c r="G201" s="16" t="s">
        <v>114</v>
      </c>
      <c r="H201" s="16" t="s">
        <v>52</v>
      </c>
      <c r="I201" s="16" t="s">
        <v>168</v>
      </c>
      <c r="J201" s="16" t="s">
        <v>169</v>
      </c>
      <c r="K201" s="16" t="s">
        <v>93</v>
      </c>
      <c r="L201" s="16" t="s">
        <v>305</v>
      </c>
      <c r="M201" s="16" t="s">
        <v>751</v>
      </c>
      <c r="N201" s="16" t="s">
        <v>232</v>
      </c>
      <c r="O201" s="16">
        <v>6</v>
      </c>
      <c r="P201" s="18">
        <v>2185.58</v>
      </c>
      <c r="Q201" s="19">
        <v>0.25</v>
      </c>
      <c r="R201" s="19">
        <v>0.25</v>
      </c>
      <c r="S201" s="18">
        <v>9835.11</v>
      </c>
      <c r="T201" s="18">
        <v>5437.64</v>
      </c>
      <c r="U201" s="18">
        <v>4397.47</v>
      </c>
      <c r="V201" s="16" t="s">
        <v>43</v>
      </c>
      <c r="W201" s="16" t="s">
        <v>44</v>
      </c>
      <c r="X201" s="18">
        <f>IF(OR(O201="",P201="",R201=""),"",O201*P201*(1-R201))</f>
        <v>9835.11</v>
      </c>
      <c r="Y201" s="18">
        <f>IF(OR(X201="",T201=""),"",X201-T201)</f>
        <v>4397.47</v>
      </c>
      <c r="Z201" s="19">
        <f>IFERROR(Y201/X201,"")</f>
        <v>0.4471</v>
      </c>
      <c r="AA201" s="16">
        <f>IF(OR(C201="",D201=""),"",D201-C201)</f>
        <v>0</v>
      </c>
      <c r="AB201" s="16">
        <f>IF(C201="","",MONTH(C201))</f>
        <v>3</v>
      </c>
      <c r="AC201" s="16">
        <f>IF(C201="","",YEAR(C201))</f>
        <v>2024</v>
      </c>
      <c r="AD201" s="16" t="s">
        <v>86</v>
      </c>
      <c r="AE201" s="16" t="s">
        <v>46</v>
      </c>
      <c r="AF201" s="16" t="s">
        <v>442</v>
      </c>
    </row>
    <row r="202" spans="1:32" s="15" customFormat="1" x14ac:dyDescent="0.25">
      <c r="A202" s="16">
        <v>202</v>
      </c>
      <c r="B202" s="16" t="s">
        <v>752</v>
      </c>
      <c r="C202" s="17">
        <v>45834.77083333333</v>
      </c>
      <c r="D202" s="17">
        <v>45842.77083333333</v>
      </c>
      <c r="E202" s="16" t="s">
        <v>753</v>
      </c>
      <c r="F202" s="16" t="s">
        <v>135</v>
      </c>
      <c r="G202" s="16" t="s">
        <v>51</v>
      </c>
      <c r="H202" s="16" t="s">
        <v>36</v>
      </c>
      <c r="I202" s="16" t="s">
        <v>37</v>
      </c>
      <c r="J202" s="16" t="s">
        <v>38</v>
      </c>
      <c r="K202" s="16" t="s">
        <v>93</v>
      </c>
      <c r="L202" s="16" t="s">
        <v>99</v>
      </c>
      <c r="M202" s="16" t="s">
        <v>754</v>
      </c>
      <c r="N202" s="16" t="s">
        <v>64</v>
      </c>
      <c r="O202" s="16">
        <v>5</v>
      </c>
      <c r="P202" s="18">
        <v>2868.44</v>
      </c>
      <c r="Q202" s="19">
        <v>0.1</v>
      </c>
      <c r="R202" s="19">
        <v>0.1</v>
      </c>
      <c r="S202" s="18">
        <v>12907.98</v>
      </c>
      <c r="T202" s="18">
        <v>9197.08</v>
      </c>
      <c r="U202" s="18">
        <v>3710.9</v>
      </c>
      <c r="V202" s="16" t="s">
        <v>131</v>
      </c>
      <c r="W202" s="16" t="s">
        <v>85</v>
      </c>
      <c r="X202" s="18">
        <f>IF(OR(O202="",P202="",R202=""),"",O202*P202*(1-R202))</f>
        <v>12907.98</v>
      </c>
      <c r="Y202" s="18">
        <f>IF(OR(X202="",T202=""),"",X202-T202)</f>
        <v>3710.9</v>
      </c>
      <c r="Z202" s="19">
        <f>IFERROR(Y202/X202,"")</f>
        <v>0.2875</v>
      </c>
      <c r="AA202" s="16">
        <f>IF(OR(C202="",D202=""),"",D202-C202)</f>
        <v>8</v>
      </c>
      <c r="AB202" s="16">
        <f>IF(C202="","",MONTH(C202))</f>
        <v>6</v>
      </c>
      <c r="AC202" s="16">
        <f>IF(C202="","",YEAR(C202))</f>
        <v>2025</v>
      </c>
      <c r="AD202" s="16" t="s">
        <v>86</v>
      </c>
      <c r="AE202" s="16" t="s">
        <v>66</v>
      </c>
      <c r="AF202" s="16" t="s">
        <v>255</v>
      </c>
    </row>
    <row r="203" spans="1:32" s="10" customFormat="1" x14ac:dyDescent="0.25">
      <c r="A203" s="11">
        <v>203</v>
      </c>
      <c r="B203" s="11" t="s">
        <v>755</v>
      </c>
      <c r="C203" s="12">
        <v>45863.77083333333</v>
      </c>
      <c r="D203" s="12">
        <v>45871.77083333333</v>
      </c>
      <c r="E203" s="11" t="s">
        <v>756</v>
      </c>
      <c r="F203" s="11" t="s">
        <v>90</v>
      </c>
      <c r="G203" s="11" t="s">
        <v>35</v>
      </c>
      <c r="H203" s="11" t="s">
        <v>80</v>
      </c>
      <c r="I203" s="11" t="s">
        <v>91</v>
      </c>
      <c r="J203" s="11" t="s">
        <v>92</v>
      </c>
      <c r="K203" s="11" t="s">
        <v>39</v>
      </c>
      <c r="L203" s="11" t="s">
        <v>110</v>
      </c>
      <c r="M203" s="11" t="s">
        <v>757</v>
      </c>
      <c r="N203" s="11" t="s">
        <v>42</v>
      </c>
      <c r="O203" s="11">
        <v>2</v>
      </c>
      <c r="P203" s="13">
        <v>2503.53</v>
      </c>
      <c r="Q203" s="14">
        <v>-0.16</v>
      </c>
      <c r="R203" s="14">
        <v>-0.16</v>
      </c>
      <c r="S203" s="13">
        <v>4756.71</v>
      </c>
      <c r="T203" s="13">
        <v>2954.86</v>
      </c>
      <c r="U203" s="13">
        <v>1801.85</v>
      </c>
      <c r="V203" s="11" t="s">
        <v>121</v>
      </c>
      <c r="W203" s="11" t="s">
        <v>85</v>
      </c>
      <c r="X203" s="13">
        <f>IF(OR(O203="",P203="",R203=""),"",O203*P203*(1-R203))</f>
        <v>5808.19</v>
      </c>
      <c r="Y203" s="13">
        <f>IF(OR(X203="",T203=""),"",X203-T203)</f>
        <v>2853.33</v>
      </c>
      <c r="Z203" s="14">
        <f>IFERROR(Y203/X203,"")</f>
        <v>0.4913</v>
      </c>
      <c r="AA203" s="11">
        <f>IF(OR(C203="",D203=""),"",D203-C203)</f>
        <v>8</v>
      </c>
      <c r="AB203" s="11">
        <f>IF(C203="","",MONTH(C203))</f>
        <v>7</v>
      </c>
      <c r="AC203" s="11">
        <f>IF(C203="","",YEAR(C203))</f>
        <v>2025</v>
      </c>
      <c r="AD203" s="11" t="s">
        <v>65</v>
      </c>
      <c r="AE203" s="11" t="s">
        <v>66</v>
      </c>
      <c r="AF203" s="11" t="s">
        <v>758</v>
      </c>
    </row>
    <row r="204" spans="1:32" x14ac:dyDescent="0.25">
      <c r="A204" s="1">
        <v>204</v>
      </c>
      <c r="B204" s="1" t="s">
        <v>759</v>
      </c>
      <c r="C204" s="2">
        <v>45743.77083333333</v>
      </c>
      <c r="D204" s="2">
        <v>45743.77083333333</v>
      </c>
      <c r="E204" s="1" t="s">
        <v>760</v>
      </c>
      <c r="F204" s="1" t="s">
        <v>153</v>
      </c>
      <c r="G204" s="1" t="s">
        <v>109</v>
      </c>
      <c r="H204" s="1" t="s">
        <v>80</v>
      </c>
      <c r="I204" s="1" t="s">
        <v>216</v>
      </c>
      <c r="J204" s="1" t="s">
        <v>217</v>
      </c>
      <c r="K204" s="1" t="s">
        <v>93</v>
      </c>
      <c r="L204" s="1" t="s">
        <v>94</v>
      </c>
      <c r="M204" s="1" t="s">
        <v>761</v>
      </c>
      <c r="N204" s="1" t="s">
        <v>76</v>
      </c>
      <c r="O204" s="1">
        <v>8</v>
      </c>
      <c r="P204" s="3">
        <v>1740.94</v>
      </c>
      <c r="Q204" s="4">
        <v>0.05</v>
      </c>
      <c r="R204" s="4">
        <v>0.05</v>
      </c>
      <c r="S204" s="3">
        <v>13231.14</v>
      </c>
      <c r="T204" s="3">
        <v>11290.06</v>
      </c>
      <c r="U204" s="3">
        <v>1941.08</v>
      </c>
      <c r="V204" s="1" t="s">
        <v>43</v>
      </c>
      <c r="W204" s="1" t="s">
        <v>44</v>
      </c>
      <c r="X204" s="3">
        <f>IF(OR(O204="",P204="",R204=""),"",O204*P204*(1-R204))</f>
        <v>13231.14</v>
      </c>
      <c r="Y204" s="3">
        <f>IF(OR(X204="",T204=""),"",X204-T204)</f>
        <v>1941.08</v>
      </c>
      <c r="Z204" s="4">
        <f>IFERROR(Y204/X204,"")</f>
        <v>0.1467</v>
      </c>
      <c r="AA204" s="1">
        <f>IF(OR(C204="",D204=""),"",D204-C204)</f>
        <v>0</v>
      </c>
      <c r="AB204" s="1">
        <f>IF(C204="","",MONTH(C204))</f>
        <v>3</v>
      </c>
      <c r="AC204" s="1">
        <f>IF(C204="","",YEAR(C204))</f>
        <v>2025</v>
      </c>
      <c r="AD204" s="1" t="s">
        <v>45</v>
      </c>
      <c r="AE204" s="1" t="s">
        <v>46</v>
      </c>
      <c r="AF204" s="1" t="s">
        <v>47</v>
      </c>
    </row>
    <row r="205" spans="1:32" x14ac:dyDescent="0.25">
      <c r="A205" s="1">
        <v>205</v>
      </c>
      <c r="B205" s="1" t="s">
        <v>762</v>
      </c>
      <c r="C205" s="2">
        <v>45378.77083333333</v>
      </c>
      <c r="D205" s="2">
        <v>45380.77083333333</v>
      </c>
      <c r="E205" s="1" t="s">
        <v>763</v>
      </c>
      <c r="F205" s="1" t="s">
        <v>153</v>
      </c>
      <c r="G205" s="1" t="s">
        <v>109</v>
      </c>
      <c r="H205" s="1" t="s">
        <v>80</v>
      </c>
      <c r="I205" s="1" t="s">
        <v>37</v>
      </c>
      <c r="J205" s="1" t="s">
        <v>129</v>
      </c>
      <c r="K205" s="1" t="s">
        <v>93</v>
      </c>
      <c r="L205" s="1" t="s">
        <v>94</v>
      </c>
      <c r="M205" s="1" t="s">
        <v>764</v>
      </c>
      <c r="N205" s="1" t="s">
        <v>42</v>
      </c>
      <c r="O205" s="1">
        <v>1</v>
      </c>
      <c r="P205" s="3">
        <v>570.34</v>
      </c>
      <c r="Q205" s="4">
        <v>0.15</v>
      </c>
      <c r="R205" s="4">
        <v>0.15</v>
      </c>
      <c r="S205" s="3">
        <v>484.79</v>
      </c>
      <c r="T205" s="3">
        <v>333.54</v>
      </c>
      <c r="U205" s="3">
        <v>151.25</v>
      </c>
      <c r="V205" s="1" t="s">
        <v>43</v>
      </c>
      <c r="W205" s="1" t="s">
        <v>44</v>
      </c>
      <c r="X205" s="3">
        <f>IF(OR(O205="",P205="",R205=""),"",O205*P205*(1-R205))</f>
        <v>484.79</v>
      </c>
      <c r="Y205" s="3">
        <f>IF(OR(X205="",T205=""),"",X205-T205)</f>
        <v>151.25</v>
      </c>
      <c r="Z205" s="4">
        <f>IFERROR(Y205/X205,"")</f>
        <v>0.312</v>
      </c>
      <c r="AA205" s="1">
        <f>IF(OR(C205="",D205=""),"",D205-C205)</f>
        <v>2</v>
      </c>
      <c r="AB205" s="1">
        <f>IF(C205="","",MONTH(C205))</f>
        <v>3</v>
      </c>
      <c r="AC205" s="1">
        <f>IF(C205="","",YEAR(C205))</f>
        <v>2024</v>
      </c>
      <c r="AD205" s="1" t="s">
        <v>45</v>
      </c>
      <c r="AE205" s="1" t="s">
        <v>46</v>
      </c>
      <c r="AF205" s="1" t="s">
        <v>47</v>
      </c>
    </row>
    <row r="206" spans="1:32" x14ac:dyDescent="0.25">
      <c r="A206" s="1">
        <v>206</v>
      </c>
      <c r="B206" s="1" t="s">
        <v>765</v>
      </c>
      <c r="C206" s="2">
        <v>45857.77083333333</v>
      </c>
      <c r="D206" s="2">
        <v>45860.77083333333</v>
      </c>
      <c r="E206" s="1" t="s">
        <v>766</v>
      </c>
      <c r="F206" s="1" t="s">
        <v>50</v>
      </c>
      <c r="G206" s="1" t="s">
        <v>114</v>
      </c>
      <c r="H206" s="1" t="s">
        <v>52</v>
      </c>
      <c r="I206" s="1" t="s">
        <v>118</v>
      </c>
      <c r="J206" s="1" t="s">
        <v>119</v>
      </c>
      <c r="K206" s="1" t="s">
        <v>55</v>
      </c>
      <c r="L206" s="1" t="s">
        <v>56</v>
      </c>
      <c r="M206" s="1" t="s">
        <v>767</v>
      </c>
      <c r="N206" s="1" t="s">
        <v>42</v>
      </c>
      <c r="O206" s="1">
        <v>4</v>
      </c>
      <c r="P206" s="3">
        <v>477.69</v>
      </c>
      <c r="Q206" s="4">
        <v>0.15</v>
      </c>
      <c r="R206" s="4">
        <v>0.15</v>
      </c>
      <c r="S206" s="3">
        <v>1624.15</v>
      </c>
      <c r="T206" s="3">
        <v>1217.99</v>
      </c>
      <c r="U206" s="3">
        <v>406.16</v>
      </c>
      <c r="V206" s="1" t="s">
        <v>43</v>
      </c>
      <c r="W206" s="1" t="s">
        <v>44</v>
      </c>
      <c r="X206" s="3">
        <f>IF(OR(O206="",P206="",R206=""),"",O206*P206*(1-R206))</f>
        <v>1624.15</v>
      </c>
      <c r="Y206" s="3">
        <f>IF(OR(X206="",T206=""),"",X206-T206)</f>
        <v>406.16</v>
      </c>
      <c r="Z206" s="4">
        <f>IFERROR(Y206/X206,"")</f>
        <v>0.2501</v>
      </c>
      <c r="AA206" s="1">
        <f>IF(OR(C206="",D206=""),"",D206-C206)</f>
        <v>3</v>
      </c>
      <c r="AB206" s="1">
        <f>IF(C206="","",MONTH(C206))</f>
        <v>7</v>
      </c>
      <c r="AC206" s="1">
        <f>IF(C206="","",YEAR(C206))</f>
        <v>2025</v>
      </c>
      <c r="AD206" s="1" t="s">
        <v>45</v>
      </c>
      <c r="AE206" s="1" t="s">
        <v>46</v>
      </c>
      <c r="AF206" s="1" t="s">
        <v>47</v>
      </c>
    </row>
    <row r="207" spans="1:32" x14ac:dyDescent="0.25">
      <c r="A207" s="1">
        <v>207</v>
      </c>
      <c r="B207" s="1" t="s">
        <v>768</v>
      </c>
      <c r="C207" s="2">
        <v>45767.77083333333</v>
      </c>
      <c r="D207" s="2">
        <v>45772.77083333333</v>
      </c>
      <c r="E207" s="1" t="s">
        <v>769</v>
      </c>
      <c r="F207" s="1" t="s">
        <v>79</v>
      </c>
      <c r="G207" s="1" t="s">
        <v>35</v>
      </c>
      <c r="H207" s="1" t="s">
        <v>80</v>
      </c>
      <c r="I207" s="1" t="s">
        <v>81</v>
      </c>
      <c r="J207" s="1" t="s">
        <v>82</v>
      </c>
      <c r="K207" s="1" t="s">
        <v>39</v>
      </c>
      <c r="L207" s="1" t="s">
        <v>110</v>
      </c>
      <c r="M207" s="1" t="s">
        <v>770</v>
      </c>
      <c r="N207" s="1" t="s">
        <v>58</v>
      </c>
      <c r="O207" s="1">
        <v>6</v>
      </c>
      <c r="P207" s="3">
        <v>873.59</v>
      </c>
      <c r="Q207" s="4">
        <v>0.2</v>
      </c>
      <c r="R207" s="4">
        <v>0.2</v>
      </c>
      <c r="S207" s="3">
        <v>4193.23</v>
      </c>
      <c r="T207" s="3">
        <v>3329.99</v>
      </c>
      <c r="U207" s="3">
        <v>863.24</v>
      </c>
      <c r="V207" s="1" t="s">
        <v>43</v>
      </c>
      <c r="W207" s="1" t="s">
        <v>44</v>
      </c>
      <c r="X207" s="3">
        <f>IF(OR(O207="",P207="",R207=""),"",O207*P207*(1-R207))</f>
        <v>4193.23</v>
      </c>
      <c r="Y207" s="3">
        <f>IF(OR(X207="",T207=""),"",X207-T207)</f>
        <v>863.24</v>
      </c>
      <c r="Z207" s="4">
        <f>IFERROR(Y207/X207,"")</f>
        <v>0.2059</v>
      </c>
      <c r="AA207" s="1">
        <f>IF(OR(C207="",D207=""),"",D207-C207)</f>
        <v>5</v>
      </c>
      <c r="AB207" s="1">
        <f>IF(C207="","",MONTH(C207))</f>
        <v>4</v>
      </c>
      <c r="AC207" s="1">
        <f>IF(C207="","",YEAR(C207))</f>
        <v>2025</v>
      </c>
      <c r="AD207" s="1" t="s">
        <v>45</v>
      </c>
      <c r="AE207" s="1" t="s">
        <v>46</v>
      </c>
      <c r="AF207" s="1" t="s">
        <v>47</v>
      </c>
    </row>
    <row r="208" spans="1:32" x14ac:dyDescent="0.25">
      <c r="A208" s="1">
        <v>208</v>
      </c>
      <c r="B208" s="1" t="s">
        <v>771</v>
      </c>
      <c r="C208" s="2">
        <v>45794.77083333333</v>
      </c>
      <c r="D208" s="2">
        <v>45796.77083333333</v>
      </c>
      <c r="E208" s="1" t="s">
        <v>772</v>
      </c>
      <c r="F208" s="1" t="s">
        <v>186</v>
      </c>
      <c r="G208" s="1" t="s">
        <v>51</v>
      </c>
      <c r="H208" s="1" t="s">
        <v>36</v>
      </c>
      <c r="I208" s="1" t="s">
        <v>157</v>
      </c>
      <c r="J208" s="1" t="s">
        <v>158</v>
      </c>
      <c r="K208" s="1" t="s">
        <v>55</v>
      </c>
      <c r="L208" s="1" t="s">
        <v>74</v>
      </c>
      <c r="M208" s="1" t="s">
        <v>773</v>
      </c>
      <c r="N208" s="1" t="s">
        <v>64</v>
      </c>
      <c r="O208" s="1">
        <v>2</v>
      </c>
      <c r="P208" s="3">
        <v>215.13</v>
      </c>
      <c r="Q208" s="4">
        <v>0</v>
      </c>
      <c r="R208" s="4">
        <v>0</v>
      </c>
      <c r="S208" s="3">
        <v>430.26</v>
      </c>
      <c r="T208" s="3">
        <v>286.38</v>
      </c>
      <c r="U208" s="3">
        <v>143.88</v>
      </c>
      <c r="V208" s="1" t="s">
        <v>43</v>
      </c>
      <c r="W208" s="1" t="s">
        <v>44</v>
      </c>
      <c r="X208" s="3">
        <f>IF(OR(O208="",P208="",R208=""),"",O208*P208*(1-R208))</f>
        <v>430.26</v>
      </c>
      <c r="Y208" s="3">
        <f>IF(OR(X208="",T208=""),"",X208-T208)</f>
        <v>143.88</v>
      </c>
      <c r="Z208" s="4">
        <f>IFERROR(Y208/X208,"")</f>
        <v>0.3344</v>
      </c>
      <c r="AA208" s="1">
        <f>IF(OR(C208="",D208=""),"",D208-C208)</f>
        <v>2</v>
      </c>
      <c r="AB208" s="1">
        <f>IF(C208="","",MONTH(C208))</f>
        <v>5</v>
      </c>
      <c r="AC208" s="1">
        <f>IF(C208="","",YEAR(C208))</f>
        <v>2025</v>
      </c>
      <c r="AD208" s="1" t="s">
        <v>45</v>
      </c>
      <c r="AE208" s="1" t="s">
        <v>46</v>
      </c>
      <c r="AF208" s="1" t="s">
        <v>47</v>
      </c>
    </row>
    <row r="209" spans="1:32" x14ac:dyDescent="0.25">
      <c r="A209" s="1">
        <v>209</v>
      </c>
      <c r="B209" s="1" t="s">
        <v>774</v>
      </c>
      <c r="C209" s="2">
        <v>45482.77083333333</v>
      </c>
      <c r="D209" s="2">
        <v>45488.77083333333</v>
      </c>
      <c r="E209" s="1" t="s">
        <v>775</v>
      </c>
      <c r="F209" s="1" t="s">
        <v>149</v>
      </c>
      <c r="G209" s="1" t="s">
        <v>114</v>
      </c>
      <c r="H209" s="1" t="s">
        <v>80</v>
      </c>
      <c r="I209" s="1" t="s">
        <v>216</v>
      </c>
      <c r="J209" s="1" t="s">
        <v>217</v>
      </c>
      <c r="K209" s="1" t="s">
        <v>55</v>
      </c>
      <c r="L209" s="1" t="s">
        <v>182</v>
      </c>
      <c r="M209" s="1" t="s">
        <v>776</v>
      </c>
      <c r="N209" s="1" t="s">
        <v>42</v>
      </c>
      <c r="O209" s="1">
        <v>2</v>
      </c>
      <c r="P209" s="3">
        <v>1095.45</v>
      </c>
      <c r="Q209" s="4">
        <v>0.2</v>
      </c>
      <c r="R209" s="4">
        <v>0.2</v>
      </c>
      <c r="S209" s="3">
        <v>1752.72</v>
      </c>
      <c r="T209" s="3">
        <v>996.41</v>
      </c>
      <c r="U209" s="3">
        <v>756.31</v>
      </c>
      <c r="V209" s="1" t="s">
        <v>43</v>
      </c>
      <c r="W209" s="1" t="s">
        <v>44</v>
      </c>
      <c r="X209" s="3">
        <f>IF(OR(O209="",P209="",R209=""),"",O209*P209*(1-R209))</f>
        <v>1752.72</v>
      </c>
      <c r="Y209" s="3">
        <f>IF(OR(X209="",T209=""),"",X209-T209)</f>
        <v>756.31</v>
      </c>
      <c r="Z209" s="4">
        <f>IFERROR(Y209/X209,"")</f>
        <v>0.4315</v>
      </c>
      <c r="AA209" s="1">
        <f>IF(OR(C209="",D209=""),"",D209-C209)</f>
        <v>6</v>
      </c>
      <c r="AB209" s="1">
        <f>IF(C209="","",MONTH(C209))</f>
        <v>7</v>
      </c>
      <c r="AC209" s="1">
        <f>IF(C209="","",YEAR(C209))</f>
        <v>2024</v>
      </c>
      <c r="AD209" s="1" t="s">
        <v>45</v>
      </c>
      <c r="AE209" s="1" t="s">
        <v>46</v>
      </c>
      <c r="AF209" s="1" t="s">
        <v>47</v>
      </c>
    </row>
    <row r="210" spans="1:32" x14ac:dyDescent="0.25">
      <c r="A210" s="1">
        <v>210</v>
      </c>
      <c r="B210" s="1" t="s">
        <v>777</v>
      </c>
      <c r="C210" s="2">
        <v>45836.77083333333</v>
      </c>
      <c r="D210" s="2">
        <v>45842.77083333333</v>
      </c>
      <c r="E210" s="1" t="s">
        <v>778</v>
      </c>
      <c r="F210" s="1" t="s">
        <v>186</v>
      </c>
      <c r="G210" s="1" t="s">
        <v>35</v>
      </c>
      <c r="H210" s="1" t="s">
        <v>36</v>
      </c>
      <c r="I210" s="1" t="s">
        <v>143</v>
      </c>
      <c r="J210" s="1" t="s">
        <v>144</v>
      </c>
      <c r="K210" s="1" t="s">
        <v>55</v>
      </c>
      <c r="L210" s="1" t="s">
        <v>83</v>
      </c>
      <c r="M210" s="1" t="s">
        <v>779</v>
      </c>
      <c r="N210" s="1" t="s">
        <v>58</v>
      </c>
      <c r="O210" s="1">
        <v>1</v>
      </c>
      <c r="P210" s="3">
        <v>999.83</v>
      </c>
      <c r="Q210" s="4">
        <v>0</v>
      </c>
      <c r="R210" s="4">
        <v>0</v>
      </c>
      <c r="S210" s="3">
        <v>999.83</v>
      </c>
      <c r="T210" s="3">
        <v>634.91</v>
      </c>
      <c r="U210" s="3">
        <v>364.92</v>
      </c>
      <c r="V210" s="1" t="s">
        <v>43</v>
      </c>
      <c r="W210" s="1" t="s">
        <v>44</v>
      </c>
      <c r="X210" s="3">
        <f>IF(OR(O210="",P210="",R210=""),"",O210*P210*(1-R210))</f>
        <v>999.83</v>
      </c>
      <c r="Y210" s="3">
        <f>IF(OR(X210="",T210=""),"",X210-T210)</f>
        <v>364.92</v>
      </c>
      <c r="Z210" s="4">
        <f>IFERROR(Y210/X210,"")</f>
        <v>0.365</v>
      </c>
      <c r="AA210" s="1">
        <f>IF(OR(C210="",D210=""),"",D210-C210)</f>
        <v>6</v>
      </c>
      <c r="AB210" s="1">
        <f>IF(C210="","",MONTH(C210))</f>
        <v>6</v>
      </c>
      <c r="AC210" s="1">
        <f>IF(C210="","",YEAR(C210))</f>
        <v>2025</v>
      </c>
      <c r="AD210" s="1" t="s">
        <v>45</v>
      </c>
      <c r="AE210" s="1" t="s">
        <v>46</v>
      </c>
      <c r="AF210" s="1" t="s">
        <v>47</v>
      </c>
    </row>
    <row r="211" spans="1:32" x14ac:dyDescent="0.25">
      <c r="A211" s="1">
        <v>211</v>
      </c>
      <c r="B211" s="1" t="s">
        <v>780</v>
      </c>
      <c r="C211" s="2">
        <v>45881.77083333333</v>
      </c>
      <c r="D211" s="2">
        <v>45882.77083333333</v>
      </c>
      <c r="E211" s="1" t="s">
        <v>781</v>
      </c>
      <c r="F211" s="1" t="s">
        <v>163</v>
      </c>
      <c r="G211" s="1" t="s">
        <v>51</v>
      </c>
      <c r="H211" s="1" t="s">
        <v>71</v>
      </c>
      <c r="I211" s="1" t="s">
        <v>103</v>
      </c>
      <c r="J211" s="1" t="s">
        <v>104</v>
      </c>
      <c r="K211" s="1" t="s">
        <v>39</v>
      </c>
      <c r="L211" s="1" t="s">
        <v>40</v>
      </c>
      <c r="M211" s="1" t="s">
        <v>782</v>
      </c>
      <c r="N211" s="1" t="s">
        <v>64</v>
      </c>
      <c r="O211" s="1">
        <v>9</v>
      </c>
      <c r="P211" s="3">
        <v>864.98</v>
      </c>
      <c r="Q211" s="4">
        <v>0.1</v>
      </c>
      <c r="R211" s="4">
        <v>0.1</v>
      </c>
      <c r="S211" s="3">
        <v>7006.34</v>
      </c>
      <c r="T211" s="3">
        <v>4640.88</v>
      </c>
      <c r="U211" s="3">
        <v>2365.46</v>
      </c>
      <c r="V211" s="1" t="s">
        <v>43</v>
      </c>
      <c r="W211" s="1" t="s">
        <v>44</v>
      </c>
      <c r="X211" s="3">
        <f>IF(OR(O211="",P211="",R211=""),"",O211*P211*(1-R211))</f>
        <v>7006.34</v>
      </c>
      <c r="Y211" s="3">
        <f>IF(OR(X211="",T211=""),"",X211-T211)</f>
        <v>2365.46</v>
      </c>
      <c r="Z211" s="4">
        <f>IFERROR(Y211/X211,"")</f>
        <v>0.3376</v>
      </c>
      <c r="AA211" s="1">
        <f>IF(OR(C211="",D211=""),"",D211-C211)</f>
        <v>1</v>
      </c>
      <c r="AB211" s="1">
        <f>IF(C211="","",MONTH(C211))</f>
        <v>8</v>
      </c>
      <c r="AC211" s="1">
        <f>IF(C211="","",YEAR(C211))</f>
        <v>2025</v>
      </c>
      <c r="AD211" s="1" t="s">
        <v>45</v>
      </c>
      <c r="AE211" s="1" t="s">
        <v>46</v>
      </c>
      <c r="AF211" s="1" t="s">
        <v>47</v>
      </c>
    </row>
    <row r="212" spans="1:32" s="15" customFormat="1" x14ac:dyDescent="0.25">
      <c r="A212" s="16">
        <v>212</v>
      </c>
      <c r="B212" s="16" t="s">
        <v>783</v>
      </c>
      <c r="C212" s="17">
        <v>45365.77083333333</v>
      </c>
      <c r="D212" s="17">
        <v>45368.77083333333</v>
      </c>
      <c r="E212" s="16" t="s">
        <v>784</v>
      </c>
      <c r="F212" s="16" t="s">
        <v>294</v>
      </c>
      <c r="G212" s="16" t="s">
        <v>114</v>
      </c>
      <c r="H212" s="16" t="s">
        <v>71</v>
      </c>
      <c r="I212" s="16" t="s">
        <v>201</v>
      </c>
      <c r="J212" s="16" t="s">
        <v>202</v>
      </c>
      <c r="K212" s="16" t="s">
        <v>93</v>
      </c>
      <c r="L212" s="16" t="s">
        <v>305</v>
      </c>
      <c r="M212" s="16" t="s">
        <v>785</v>
      </c>
      <c r="N212" s="16" t="s">
        <v>42</v>
      </c>
      <c r="O212" s="16">
        <v>1</v>
      </c>
      <c r="P212" s="18">
        <v>4131.36</v>
      </c>
      <c r="Q212" s="19">
        <v>0</v>
      </c>
      <c r="R212" s="19">
        <v>0</v>
      </c>
      <c r="S212" s="18">
        <v>4131.36</v>
      </c>
      <c r="T212" s="18">
        <v>2937.07</v>
      </c>
      <c r="U212" s="18">
        <v>1194.29</v>
      </c>
      <c r="V212" s="16" t="s">
        <v>178</v>
      </c>
      <c r="W212" s="16" t="s">
        <v>122</v>
      </c>
      <c r="X212" s="18">
        <f>IF(OR(O212="",P212="",R212=""),"",O212*P212*(1-R212))</f>
        <v>4131.36</v>
      </c>
      <c r="Y212" s="18">
        <f>IF(OR(X212="",T212=""),"",X212-T212)</f>
        <v>1194.29</v>
      </c>
      <c r="Z212" s="19">
        <f>IFERROR(Y212/X212,"")</f>
        <v>0.2891</v>
      </c>
      <c r="AA212" s="16">
        <f>IF(OR(C212="",D212=""),"",D212-C212)</f>
        <v>3</v>
      </c>
      <c r="AB212" s="16">
        <f>IF(C212="","",MONTH(C212))</f>
        <v>3</v>
      </c>
      <c r="AC212" s="16">
        <f>IF(C212="","",YEAR(C212))</f>
        <v>2024</v>
      </c>
      <c r="AD212" s="16" t="s">
        <v>86</v>
      </c>
      <c r="AE212" s="16" t="s">
        <v>66</v>
      </c>
      <c r="AF212" s="16" t="s">
        <v>179</v>
      </c>
    </row>
    <row r="213" spans="1:32" x14ac:dyDescent="0.25">
      <c r="A213" s="1">
        <v>213</v>
      </c>
      <c r="B213" s="1" t="s">
        <v>786</v>
      </c>
      <c r="C213" s="2">
        <v>45427.77083333333</v>
      </c>
      <c r="D213" s="2">
        <v>45428.77083333333</v>
      </c>
      <c r="E213" s="1" t="s">
        <v>787</v>
      </c>
      <c r="F213" s="1" t="s">
        <v>163</v>
      </c>
      <c r="G213" s="1" t="s">
        <v>109</v>
      </c>
      <c r="H213" s="1" t="s">
        <v>52</v>
      </c>
      <c r="I213" s="1" t="s">
        <v>118</v>
      </c>
      <c r="J213" s="1" t="s">
        <v>119</v>
      </c>
      <c r="K213" s="1" t="s">
        <v>93</v>
      </c>
      <c r="L213" s="1" t="s">
        <v>99</v>
      </c>
      <c r="M213" s="1" t="s">
        <v>788</v>
      </c>
      <c r="N213" s="1" t="s">
        <v>42</v>
      </c>
      <c r="O213" s="1">
        <v>8</v>
      </c>
      <c r="P213" s="3">
        <v>4221.95</v>
      </c>
      <c r="Q213" s="4">
        <v>0.2</v>
      </c>
      <c r="R213" s="4">
        <v>0.2</v>
      </c>
      <c r="S213" s="3">
        <v>27020.48</v>
      </c>
      <c r="T213" s="3">
        <v>22885.24</v>
      </c>
      <c r="U213" s="3">
        <v>4135.24</v>
      </c>
      <c r="V213" s="1" t="s">
        <v>43</v>
      </c>
      <c r="W213" s="1" t="s">
        <v>44</v>
      </c>
      <c r="X213" s="3">
        <f>IF(OR(O213="",P213="",R213=""),"",O213*P213*(1-R213))</f>
        <v>27020.48</v>
      </c>
      <c r="Y213" s="3">
        <f>IF(OR(X213="",T213=""),"",X213-T213)</f>
        <v>4135.24</v>
      </c>
      <c r="Z213" s="4">
        <f>IFERROR(Y213/X213,"")</f>
        <v>0.153</v>
      </c>
      <c r="AA213" s="1">
        <f>IF(OR(C213="",D213=""),"",D213-C213)</f>
        <v>1</v>
      </c>
      <c r="AB213" s="1">
        <f>IF(C213="","",MONTH(C213))</f>
        <v>5</v>
      </c>
      <c r="AC213" s="1">
        <f>IF(C213="","",YEAR(C213))</f>
        <v>2024</v>
      </c>
      <c r="AD213" s="1" t="s">
        <v>45</v>
      </c>
      <c r="AE213" s="1" t="s">
        <v>46</v>
      </c>
      <c r="AF213" s="1" t="s">
        <v>47</v>
      </c>
    </row>
    <row r="214" spans="1:32" x14ac:dyDescent="0.25">
      <c r="A214" s="1">
        <v>214</v>
      </c>
      <c r="B214" s="1" t="s">
        <v>789</v>
      </c>
      <c r="C214" s="2">
        <v>45555.77083333333</v>
      </c>
      <c r="D214" s="2">
        <v>45555.77083333333</v>
      </c>
      <c r="E214" s="1" t="s">
        <v>790</v>
      </c>
      <c r="F214" s="1" t="s">
        <v>79</v>
      </c>
      <c r="G214" s="1" t="s">
        <v>51</v>
      </c>
      <c r="H214" s="1" t="s">
        <v>52</v>
      </c>
      <c r="I214" s="1" t="s">
        <v>53</v>
      </c>
      <c r="J214" s="1" t="s">
        <v>54</v>
      </c>
      <c r="K214" s="1" t="s">
        <v>93</v>
      </c>
      <c r="L214" s="1" t="s">
        <v>196</v>
      </c>
      <c r="M214" s="1" t="s">
        <v>791</v>
      </c>
      <c r="N214" s="1" t="s">
        <v>58</v>
      </c>
      <c r="O214" s="1">
        <v>2</v>
      </c>
      <c r="P214" s="3">
        <v>214.5</v>
      </c>
      <c r="Q214" s="4">
        <v>0.15</v>
      </c>
      <c r="R214" s="4">
        <v>0.15</v>
      </c>
      <c r="S214" s="3">
        <v>364.65</v>
      </c>
      <c r="T214" s="3">
        <v>280.74</v>
      </c>
      <c r="U214" s="3">
        <v>83.91</v>
      </c>
      <c r="V214" s="1" t="s">
        <v>43</v>
      </c>
      <c r="W214" s="1" t="s">
        <v>44</v>
      </c>
      <c r="X214" s="3">
        <f>IF(OR(O214="",P214="",R214=""),"",O214*P214*(1-R214))</f>
        <v>364.65</v>
      </c>
      <c r="Y214" s="3">
        <f>IF(OR(X214="",T214=""),"",X214-T214)</f>
        <v>83.91</v>
      </c>
      <c r="Z214" s="4">
        <f>IFERROR(Y214/X214,"")</f>
        <v>0.2301</v>
      </c>
      <c r="AA214" s="1">
        <f>IF(OR(C214="",D214=""),"",D214-C214)</f>
        <v>0</v>
      </c>
      <c r="AB214" s="1">
        <f>IF(C214="","",MONTH(C214))</f>
        <v>9</v>
      </c>
      <c r="AC214" s="1">
        <f>IF(C214="","",YEAR(C214))</f>
        <v>2024</v>
      </c>
      <c r="AD214" s="1" t="s">
        <v>45</v>
      </c>
      <c r="AE214" s="1" t="s">
        <v>46</v>
      </c>
      <c r="AF214" s="1" t="s">
        <v>47</v>
      </c>
    </row>
    <row r="215" spans="1:32" x14ac:dyDescent="0.25">
      <c r="A215" s="1">
        <v>215</v>
      </c>
      <c r="B215" s="1" t="s">
        <v>792</v>
      </c>
      <c r="C215" s="2">
        <v>45426.77083333333</v>
      </c>
      <c r="D215" s="2">
        <v>45432.77083333333</v>
      </c>
      <c r="E215" s="1" t="s">
        <v>793</v>
      </c>
      <c r="F215" s="1" t="s">
        <v>61</v>
      </c>
      <c r="G215" s="1" t="s">
        <v>51</v>
      </c>
      <c r="H215" s="1" t="s">
        <v>52</v>
      </c>
      <c r="I215" s="1" t="s">
        <v>168</v>
      </c>
      <c r="J215" s="1" t="s">
        <v>169</v>
      </c>
      <c r="K215" s="1" t="s">
        <v>93</v>
      </c>
      <c r="L215" s="1" t="s">
        <v>94</v>
      </c>
      <c r="M215" s="1" t="s">
        <v>794</v>
      </c>
      <c r="N215" s="1" t="s">
        <v>42</v>
      </c>
      <c r="O215" s="1">
        <v>4</v>
      </c>
      <c r="P215" s="3">
        <v>4332.73</v>
      </c>
      <c r="Q215" s="4">
        <v>0.2</v>
      </c>
      <c r="R215" s="4">
        <v>0.2</v>
      </c>
      <c r="S215" s="3">
        <v>13864.74</v>
      </c>
      <c r="T215" s="3">
        <v>11294.06</v>
      </c>
      <c r="U215" s="3">
        <v>2570.68</v>
      </c>
      <c r="V215" s="1" t="s">
        <v>43</v>
      </c>
      <c r="W215" s="1" t="s">
        <v>44</v>
      </c>
      <c r="X215" s="3">
        <f>IF(OR(O215="",P215="",R215=""),"",O215*P215*(1-R215))</f>
        <v>13864.74</v>
      </c>
      <c r="Y215" s="3">
        <f>IF(OR(X215="",T215=""),"",X215-T215)</f>
        <v>2570.68</v>
      </c>
      <c r="Z215" s="4">
        <f>IFERROR(Y215/X215,"")</f>
        <v>0.1854</v>
      </c>
      <c r="AA215" s="1">
        <f>IF(OR(C215="",D215=""),"",D215-C215)</f>
        <v>6</v>
      </c>
      <c r="AB215" s="1">
        <f>IF(C215="","",MONTH(C215))</f>
        <v>5</v>
      </c>
      <c r="AC215" s="1">
        <f>IF(C215="","",YEAR(C215))</f>
        <v>2024</v>
      </c>
      <c r="AD215" s="1" t="s">
        <v>45</v>
      </c>
      <c r="AE215" s="1" t="s">
        <v>46</v>
      </c>
      <c r="AF215" s="1" t="s">
        <v>47</v>
      </c>
    </row>
    <row r="216" spans="1:32" x14ac:dyDescent="0.25">
      <c r="A216" s="1">
        <v>216</v>
      </c>
      <c r="B216" s="1" t="s">
        <v>795</v>
      </c>
      <c r="C216" s="2">
        <v>45367.77083333333</v>
      </c>
      <c r="D216" s="2">
        <v>45373.77083333333</v>
      </c>
      <c r="E216" s="1" t="s">
        <v>796</v>
      </c>
      <c r="F216" s="1" t="s">
        <v>139</v>
      </c>
      <c r="G216" s="1" t="s">
        <v>35</v>
      </c>
      <c r="H216" s="1" t="s">
        <v>36</v>
      </c>
      <c r="I216" s="1" t="s">
        <v>266</v>
      </c>
      <c r="J216" s="1" t="s">
        <v>267</v>
      </c>
      <c r="K216" s="1" t="s">
        <v>93</v>
      </c>
      <c r="L216" s="1" t="s">
        <v>94</v>
      </c>
      <c r="M216" s="1" t="s">
        <v>797</v>
      </c>
      <c r="N216" s="1" t="s">
        <v>64</v>
      </c>
      <c r="O216" s="1">
        <v>3</v>
      </c>
      <c r="P216" s="3">
        <v>248.18</v>
      </c>
      <c r="Q216" s="4">
        <v>0.05</v>
      </c>
      <c r="R216" s="4">
        <v>0.05</v>
      </c>
      <c r="S216" s="3">
        <v>707.31</v>
      </c>
      <c r="T216" s="3">
        <v>569</v>
      </c>
      <c r="U216" s="3">
        <v>138.31</v>
      </c>
      <c r="V216" s="1" t="s">
        <v>43</v>
      </c>
      <c r="W216" s="1" t="s">
        <v>44</v>
      </c>
      <c r="X216" s="3">
        <f>IF(OR(O216="",P216="",R216=""),"",O216*P216*(1-R216))</f>
        <v>707.31</v>
      </c>
      <c r="Y216" s="3">
        <f>IF(OR(X216="",T216=""),"",X216-T216)</f>
        <v>138.31</v>
      </c>
      <c r="Z216" s="4">
        <f>IFERROR(Y216/X216,"")</f>
        <v>0.1955</v>
      </c>
      <c r="AA216" s="1">
        <f>IF(OR(C216="",D216=""),"",D216-C216)</f>
        <v>6</v>
      </c>
      <c r="AB216" s="1">
        <f>IF(C216="","",MONTH(C216))</f>
        <v>3</v>
      </c>
      <c r="AC216" s="1">
        <f>IF(C216="","",YEAR(C216))</f>
        <v>2024</v>
      </c>
      <c r="AD216" s="1" t="s">
        <v>45</v>
      </c>
      <c r="AE216" s="1" t="s">
        <v>46</v>
      </c>
      <c r="AF216" s="1" t="s">
        <v>47</v>
      </c>
    </row>
    <row r="217" spans="1:32" x14ac:dyDescent="0.25">
      <c r="A217" s="1">
        <v>217</v>
      </c>
      <c r="B217" s="1" t="s">
        <v>798</v>
      </c>
      <c r="C217" s="2">
        <v>45351.77083333333</v>
      </c>
      <c r="D217" s="2">
        <v>45354.77083333333</v>
      </c>
      <c r="E217" s="1" t="s">
        <v>799</v>
      </c>
      <c r="F217" s="1" t="s">
        <v>50</v>
      </c>
      <c r="G217" s="1" t="s">
        <v>35</v>
      </c>
      <c r="H217" s="1" t="s">
        <v>80</v>
      </c>
      <c r="I217" s="1" t="s">
        <v>91</v>
      </c>
      <c r="J217" s="1" t="s">
        <v>92</v>
      </c>
      <c r="K217" s="1" t="s">
        <v>39</v>
      </c>
      <c r="L217" s="1" t="s">
        <v>40</v>
      </c>
      <c r="M217" s="1" t="s">
        <v>800</v>
      </c>
      <c r="N217" s="1" t="s">
        <v>64</v>
      </c>
      <c r="O217" s="1">
        <v>8</v>
      </c>
      <c r="P217" s="3">
        <v>3202.4</v>
      </c>
      <c r="Q217" s="4">
        <v>0.25</v>
      </c>
      <c r="R217" s="4">
        <v>0.25</v>
      </c>
      <c r="S217" s="3">
        <v>19214.4</v>
      </c>
      <c r="T217" s="3">
        <v>10916.01</v>
      </c>
      <c r="U217" s="3">
        <v>8298.39</v>
      </c>
      <c r="V217" s="1" t="s">
        <v>43</v>
      </c>
      <c r="W217" s="1" t="s">
        <v>44</v>
      </c>
      <c r="X217" s="3">
        <f>IF(OR(O217="",P217="",R217=""),"",O217*P217*(1-R217))</f>
        <v>19214.4</v>
      </c>
      <c r="Y217" s="3">
        <f>IF(OR(X217="",T217=""),"",X217-T217)</f>
        <v>8298.39</v>
      </c>
      <c r="Z217" s="4">
        <f>IFERROR(Y217/X217,"")</f>
        <v>0.4319</v>
      </c>
      <c r="AA217" s="1">
        <f>IF(OR(C217="",D217=""),"",D217-C217)</f>
        <v>3</v>
      </c>
      <c r="AB217" s="1">
        <f>IF(C217="","",MONTH(C217))</f>
        <v>3</v>
      </c>
      <c r="AC217" s="1">
        <f>IF(C217="","",YEAR(C217))</f>
        <v>2024</v>
      </c>
      <c r="AD217" s="1" t="s">
        <v>45</v>
      </c>
      <c r="AE217" s="1" t="s">
        <v>46</v>
      </c>
      <c r="AF217" s="1" t="s">
        <v>47</v>
      </c>
    </row>
    <row r="218" spans="1:32" s="15" customFormat="1" x14ac:dyDescent="0.25">
      <c r="A218" s="16">
        <v>218</v>
      </c>
      <c r="B218" s="16" t="s">
        <v>801</v>
      </c>
      <c r="C218" s="17">
        <v>45756.77083333333</v>
      </c>
      <c r="D218" s="17">
        <v>45761.77083333333</v>
      </c>
      <c r="E218" s="16" t="s">
        <v>802</v>
      </c>
      <c r="F218" s="16" t="s">
        <v>61</v>
      </c>
      <c r="G218" s="16" t="s">
        <v>35</v>
      </c>
      <c r="H218" s="16" t="s">
        <v>80</v>
      </c>
      <c r="I218" s="16" t="s">
        <v>206</v>
      </c>
      <c r="J218" s="16" t="s">
        <v>207</v>
      </c>
      <c r="K218" s="16" t="s">
        <v>55</v>
      </c>
      <c r="L218" s="16" t="s">
        <v>56</v>
      </c>
      <c r="M218" s="16" t="s">
        <v>803</v>
      </c>
      <c r="N218" s="16" t="s">
        <v>76</v>
      </c>
      <c r="O218" s="16">
        <v>8</v>
      </c>
      <c r="P218" s="18">
        <v>1839.87</v>
      </c>
      <c r="Q218" s="19">
        <v>0.25</v>
      </c>
      <c r="R218" s="19">
        <v>0.25</v>
      </c>
      <c r="S218" s="18">
        <v>11039.22</v>
      </c>
      <c r="T218" s="18">
        <v>7642.91</v>
      </c>
      <c r="U218" s="18">
        <v>3396.31</v>
      </c>
      <c r="V218" s="16" t="s">
        <v>178</v>
      </c>
      <c r="W218" s="16" t="s">
        <v>122</v>
      </c>
      <c r="X218" s="18">
        <f>IF(OR(O218="",P218="",R218=""),"",O218*P218*(1-R218))</f>
        <v>11039.22</v>
      </c>
      <c r="Y218" s="18">
        <f>IF(OR(X218="",T218=""),"",X218-T218)</f>
        <v>3396.31</v>
      </c>
      <c r="Z218" s="19">
        <f>IFERROR(Y218/X218,"")</f>
        <v>0.3077</v>
      </c>
      <c r="AA218" s="16">
        <f>IF(OR(C218="",D218=""),"",D218-C218)</f>
        <v>5</v>
      </c>
      <c r="AB218" s="16">
        <f>IF(C218="","",MONTH(C218))</f>
        <v>4</v>
      </c>
      <c r="AC218" s="16">
        <f>IF(C218="","",YEAR(C218))</f>
        <v>2025</v>
      </c>
      <c r="AD218" s="16" t="s">
        <v>86</v>
      </c>
      <c r="AE218" s="16" t="s">
        <v>66</v>
      </c>
      <c r="AF218" s="16" t="s">
        <v>179</v>
      </c>
    </row>
    <row r="219" spans="1:32" s="15" customFormat="1" x14ac:dyDescent="0.25">
      <c r="A219" s="16">
        <v>219</v>
      </c>
      <c r="B219" s="16" t="s">
        <v>804</v>
      </c>
      <c r="C219" s="17">
        <v>45747.77083333333</v>
      </c>
      <c r="D219" s="17">
        <v>45754.77083333333</v>
      </c>
      <c r="E219" s="16" t="s">
        <v>805</v>
      </c>
      <c r="F219" s="16" t="s">
        <v>108</v>
      </c>
      <c r="G219" s="16" t="s">
        <v>35</v>
      </c>
      <c r="H219" s="16" t="s">
        <v>52</v>
      </c>
      <c r="I219" s="16" t="s">
        <v>53</v>
      </c>
      <c r="J219" s="16" t="s">
        <v>54</v>
      </c>
      <c r="K219" s="16" t="s">
        <v>55</v>
      </c>
      <c r="L219" s="16" t="s">
        <v>182</v>
      </c>
      <c r="M219" s="16" t="s">
        <v>806</v>
      </c>
      <c r="N219" s="16" t="s">
        <v>42</v>
      </c>
      <c r="O219" s="16">
        <v>5</v>
      </c>
      <c r="P219" s="18">
        <v>1021.28</v>
      </c>
      <c r="Q219" s="19">
        <v>0.1</v>
      </c>
      <c r="R219" s="19">
        <v>0.1</v>
      </c>
      <c r="S219" s="18">
        <v>4595.76</v>
      </c>
      <c r="T219" s="18">
        <v>3396.8</v>
      </c>
      <c r="U219" s="18">
        <v>1198.96</v>
      </c>
      <c r="V219" s="16" t="s">
        <v>121</v>
      </c>
      <c r="W219" s="16" t="s">
        <v>85</v>
      </c>
      <c r="X219" s="18">
        <f>IF(OR(O219="",P219="",R219=""),"",O219*P219*(1-R219))</f>
        <v>4595.76</v>
      </c>
      <c r="Y219" s="18">
        <f>IF(OR(X219="",T219=""),"",X219-T219)</f>
        <v>1198.96</v>
      </c>
      <c r="Z219" s="19">
        <f>IFERROR(Y219/X219,"")</f>
        <v>0.2609</v>
      </c>
      <c r="AA219" s="16">
        <f>IF(OR(C219="",D219=""),"",D219-C219)</f>
        <v>7</v>
      </c>
      <c r="AB219" s="16">
        <f>IF(C219="","",MONTH(C219))</f>
        <v>4</v>
      </c>
      <c r="AC219" s="16">
        <f>IF(C219="","",YEAR(C219))</f>
        <v>2025</v>
      </c>
      <c r="AD219" s="16" t="s">
        <v>86</v>
      </c>
      <c r="AE219" s="16" t="s">
        <v>66</v>
      </c>
      <c r="AF219" s="16" t="s">
        <v>160</v>
      </c>
    </row>
    <row r="220" spans="1:32" x14ac:dyDescent="0.25">
      <c r="A220" s="1">
        <v>220</v>
      </c>
      <c r="B220" s="1" t="s">
        <v>807</v>
      </c>
      <c r="C220" s="2">
        <v>45713.77083333333</v>
      </c>
      <c r="D220" s="2">
        <v>45714.77083333333</v>
      </c>
      <c r="E220" s="1" t="s">
        <v>808</v>
      </c>
      <c r="F220" s="1" t="s">
        <v>135</v>
      </c>
      <c r="G220" s="1" t="s">
        <v>109</v>
      </c>
      <c r="H220" s="1" t="s">
        <v>80</v>
      </c>
      <c r="I220" s="1" t="s">
        <v>206</v>
      </c>
      <c r="J220" s="1" t="s">
        <v>207</v>
      </c>
      <c r="K220" s="1" t="s">
        <v>55</v>
      </c>
      <c r="L220" s="1" t="s">
        <v>182</v>
      </c>
      <c r="M220" s="1" t="s">
        <v>809</v>
      </c>
      <c r="N220" s="1" t="s">
        <v>76</v>
      </c>
      <c r="O220" s="1">
        <v>5</v>
      </c>
      <c r="P220" s="3">
        <v>258.28</v>
      </c>
      <c r="Q220" s="4">
        <v>0</v>
      </c>
      <c r="R220" s="4">
        <v>0</v>
      </c>
      <c r="S220" s="3">
        <v>1291.4</v>
      </c>
      <c r="T220" s="3">
        <v>756.93</v>
      </c>
      <c r="U220" s="3">
        <v>534.47</v>
      </c>
      <c r="V220" s="1" t="s">
        <v>43</v>
      </c>
      <c r="W220" s="1" t="s">
        <v>44</v>
      </c>
      <c r="X220" s="3">
        <f>IF(OR(O220="",P220="",R220=""),"",O220*P220*(1-R220))</f>
        <v>1291.4</v>
      </c>
      <c r="Y220" s="3">
        <f>IF(OR(X220="",T220=""),"",X220-T220)</f>
        <v>534.47</v>
      </c>
      <c r="Z220" s="4">
        <f>IFERROR(Y220/X220,"")</f>
        <v>0.4139</v>
      </c>
      <c r="AA220" s="1">
        <f>IF(OR(C220="",D220=""),"",D220-C220)</f>
        <v>1</v>
      </c>
      <c r="AB220" s="1">
        <f>IF(C220="","",MONTH(C220))</f>
        <v>2</v>
      </c>
      <c r="AC220" s="1">
        <f>IF(C220="","",YEAR(C220))</f>
        <v>2025</v>
      </c>
      <c r="AD220" s="1" t="s">
        <v>45</v>
      </c>
      <c r="AE220" s="1" t="s">
        <v>46</v>
      </c>
      <c r="AF220" s="1" t="s">
        <v>47</v>
      </c>
    </row>
    <row r="221" spans="1:32" s="15" customFormat="1" x14ac:dyDescent="0.25">
      <c r="A221" s="16">
        <v>221</v>
      </c>
      <c r="B221" s="16" t="s">
        <v>810</v>
      </c>
      <c r="C221" s="17">
        <v>45460.77083333333</v>
      </c>
      <c r="D221" s="17">
        <v>45461.77083333333</v>
      </c>
      <c r="E221" s="16" t="s">
        <v>811</v>
      </c>
      <c r="F221" s="16" t="s">
        <v>139</v>
      </c>
      <c r="G221" s="16" t="s">
        <v>35</v>
      </c>
      <c r="H221" s="16" t="s">
        <v>52</v>
      </c>
      <c r="I221" s="16" t="s">
        <v>168</v>
      </c>
      <c r="J221" s="16" t="s">
        <v>169</v>
      </c>
      <c r="K221" s="16" t="s">
        <v>93</v>
      </c>
      <c r="L221" s="16" t="s">
        <v>305</v>
      </c>
      <c r="M221" s="16" t="s">
        <v>812</v>
      </c>
      <c r="N221" s="16" t="s">
        <v>64</v>
      </c>
      <c r="O221" s="16">
        <v>2</v>
      </c>
      <c r="P221" s="18">
        <v>121.49</v>
      </c>
      <c r="Q221" s="19"/>
      <c r="R221" s="19">
        <v>0</v>
      </c>
      <c r="S221" s="18">
        <v>242.98</v>
      </c>
      <c r="T221" s="18">
        <v>161.42</v>
      </c>
      <c r="U221" s="18">
        <v>81.56</v>
      </c>
      <c r="V221" s="16" t="s">
        <v>43</v>
      </c>
      <c r="W221" s="16" t="s">
        <v>44</v>
      </c>
      <c r="X221" s="18">
        <f>IF(OR(O221="",P221="",R221=""),"",O221*P221*(1-R221))</f>
        <v>242.98</v>
      </c>
      <c r="Y221" s="18">
        <f>IF(OR(X221="",T221=""),"",X221-T221)</f>
        <v>81.56</v>
      </c>
      <c r="Z221" s="19">
        <f>IFERROR(Y221/X221,"")</f>
        <v>0.3357</v>
      </c>
      <c r="AA221" s="16">
        <f>IF(OR(C221="",D221=""),"",D221-C221)</f>
        <v>1</v>
      </c>
      <c r="AB221" s="16">
        <f>IF(C221="","",MONTH(C221))</f>
        <v>6</v>
      </c>
      <c r="AC221" s="16">
        <f>IF(C221="","",YEAR(C221))</f>
        <v>2024</v>
      </c>
      <c r="AD221" s="16" t="s">
        <v>86</v>
      </c>
      <c r="AE221" s="16" t="s">
        <v>46</v>
      </c>
      <c r="AF221" s="16" t="s">
        <v>813</v>
      </c>
    </row>
    <row r="222" spans="1:32" s="15" customFormat="1" x14ac:dyDescent="0.25">
      <c r="A222" s="16">
        <v>222</v>
      </c>
      <c r="B222" s="16" t="s">
        <v>814</v>
      </c>
      <c r="C222" s="17">
        <v>45537.77083333333</v>
      </c>
      <c r="D222" s="17">
        <v>45537.77083333333</v>
      </c>
      <c r="E222" s="16" t="s">
        <v>815</v>
      </c>
      <c r="F222" s="16" t="s">
        <v>153</v>
      </c>
      <c r="G222" s="16" t="s">
        <v>35</v>
      </c>
      <c r="H222" s="16" t="s">
        <v>71</v>
      </c>
      <c r="I222" s="16" t="s">
        <v>211</v>
      </c>
      <c r="J222" s="16" t="s">
        <v>212</v>
      </c>
      <c r="K222" s="16" t="s">
        <v>39</v>
      </c>
      <c r="L222" s="16" t="s">
        <v>145</v>
      </c>
      <c r="M222" s="16" t="s">
        <v>816</v>
      </c>
      <c r="N222" s="16" t="s">
        <v>64</v>
      </c>
      <c r="O222" s="16">
        <v>4</v>
      </c>
      <c r="P222" s="18">
        <v>2810.17</v>
      </c>
      <c r="Q222" s="19">
        <v>0.15</v>
      </c>
      <c r="R222" s="19">
        <v>0.15</v>
      </c>
      <c r="S222" s="18">
        <v>9554.58</v>
      </c>
      <c r="T222" s="18">
        <v>6068.47</v>
      </c>
      <c r="U222" s="18">
        <v>3486.11</v>
      </c>
      <c r="V222" s="16" t="s">
        <v>121</v>
      </c>
      <c r="W222" s="16" t="s">
        <v>85</v>
      </c>
      <c r="X222" s="18">
        <f>IF(OR(O222="",P222="",R222=""),"",O222*P222*(1-R222))</f>
        <v>9554.58</v>
      </c>
      <c r="Y222" s="18">
        <f>IF(OR(X222="",T222=""),"",X222-T222)</f>
        <v>3486.11</v>
      </c>
      <c r="Z222" s="19">
        <f>IFERROR(Y222/X222,"")</f>
        <v>0.3649</v>
      </c>
      <c r="AA222" s="16">
        <f>IF(OR(C222="",D222=""),"",D222-C222)</f>
        <v>0</v>
      </c>
      <c r="AB222" s="16">
        <f>IF(C222="","",MONTH(C222))</f>
        <v>9</v>
      </c>
      <c r="AC222" s="16">
        <f>IF(C222="","",YEAR(C222))</f>
        <v>2024</v>
      </c>
      <c r="AD222" s="16" t="s">
        <v>86</v>
      </c>
      <c r="AE222" s="16" t="s">
        <v>66</v>
      </c>
      <c r="AF222" s="16" t="s">
        <v>160</v>
      </c>
    </row>
    <row r="223" spans="1:32" x14ac:dyDescent="0.25">
      <c r="A223" s="1">
        <v>223</v>
      </c>
      <c r="B223" s="1" t="s">
        <v>817</v>
      </c>
      <c r="C223" s="2">
        <v>45668.77083333333</v>
      </c>
      <c r="D223" s="2">
        <v>45671.77083333333</v>
      </c>
      <c r="E223" s="1" t="s">
        <v>818</v>
      </c>
      <c r="F223" s="1" t="s">
        <v>50</v>
      </c>
      <c r="G223" s="1" t="s">
        <v>109</v>
      </c>
      <c r="H223" s="1" t="s">
        <v>71</v>
      </c>
      <c r="I223" s="1" t="s">
        <v>201</v>
      </c>
      <c r="J223" s="1" t="s">
        <v>202</v>
      </c>
      <c r="K223" s="1" t="s">
        <v>55</v>
      </c>
      <c r="L223" s="1" t="s">
        <v>83</v>
      </c>
      <c r="M223" s="1" t="s">
        <v>819</v>
      </c>
      <c r="N223" s="1" t="s">
        <v>58</v>
      </c>
      <c r="O223" s="1">
        <v>4</v>
      </c>
      <c r="P223" s="3">
        <v>1531.53</v>
      </c>
      <c r="Q223" s="4">
        <v>0.2</v>
      </c>
      <c r="R223" s="4">
        <v>0.2</v>
      </c>
      <c r="S223" s="3">
        <v>4900.9</v>
      </c>
      <c r="T223" s="3">
        <v>3552.69</v>
      </c>
      <c r="U223" s="3">
        <v>1348.21</v>
      </c>
      <c r="V223" s="1" t="s">
        <v>43</v>
      </c>
      <c r="W223" s="1" t="s">
        <v>44</v>
      </c>
      <c r="X223" s="3">
        <f>IF(OR(O223="",P223="",R223=""),"",O223*P223*(1-R223))</f>
        <v>4900.9</v>
      </c>
      <c r="Y223" s="3">
        <f>IF(OR(X223="",T223=""),"",X223-T223)</f>
        <v>1348.21</v>
      </c>
      <c r="Z223" s="4">
        <f>IFERROR(Y223/X223,"")</f>
        <v>0.2751</v>
      </c>
      <c r="AA223" s="1">
        <f>IF(OR(C223="",D223=""),"",D223-C223)</f>
        <v>3</v>
      </c>
      <c r="AB223" s="1">
        <f>IF(C223="","",MONTH(C223))</f>
        <v>1</v>
      </c>
      <c r="AC223" s="1">
        <f>IF(C223="","",YEAR(C223))</f>
        <v>2025</v>
      </c>
      <c r="AD223" s="1" t="s">
        <v>45</v>
      </c>
      <c r="AE223" s="1" t="s">
        <v>46</v>
      </c>
      <c r="AF223" s="1" t="s">
        <v>47</v>
      </c>
    </row>
    <row r="224" spans="1:32" x14ac:dyDescent="0.25">
      <c r="A224" s="1">
        <v>224</v>
      </c>
      <c r="B224" s="1" t="s">
        <v>820</v>
      </c>
      <c r="C224" s="2">
        <v>45775.77083333333</v>
      </c>
      <c r="D224" s="2">
        <v>45778.77083333333</v>
      </c>
      <c r="E224" s="1" t="s">
        <v>821</v>
      </c>
      <c r="F224" s="1" t="s">
        <v>90</v>
      </c>
      <c r="G224" s="1" t="s">
        <v>51</v>
      </c>
      <c r="H224" s="1" t="s">
        <v>80</v>
      </c>
      <c r="I224" s="1" t="s">
        <v>216</v>
      </c>
      <c r="J224" s="1" t="s">
        <v>217</v>
      </c>
      <c r="K224" s="1" t="s">
        <v>39</v>
      </c>
      <c r="L224" s="1" t="s">
        <v>145</v>
      </c>
      <c r="M224" s="1" t="s">
        <v>822</v>
      </c>
      <c r="N224" s="1" t="s">
        <v>64</v>
      </c>
      <c r="O224" s="1">
        <v>6</v>
      </c>
      <c r="P224" s="3">
        <v>4308.09</v>
      </c>
      <c r="Q224" s="4">
        <v>0</v>
      </c>
      <c r="R224" s="4">
        <v>0</v>
      </c>
      <c r="S224" s="3">
        <v>25848.54</v>
      </c>
      <c r="T224" s="3">
        <v>17729.09</v>
      </c>
      <c r="U224" s="3">
        <v>8119.45</v>
      </c>
      <c r="V224" s="1" t="s">
        <v>43</v>
      </c>
      <c r="W224" s="1" t="s">
        <v>44</v>
      </c>
      <c r="X224" s="3">
        <f>IF(OR(O224="",P224="",R224=""),"",O224*P224*(1-R224))</f>
        <v>25848.54</v>
      </c>
      <c r="Y224" s="3">
        <f>IF(OR(X224="",T224=""),"",X224-T224)</f>
        <v>8119.45</v>
      </c>
      <c r="Z224" s="4">
        <f>IFERROR(Y224/X224,"")</f>
        <v>0.3141</v>
      </c>
      <c r="AA224" s="1">
        <f>IF(OR(C224="",D224=""),"",D224-C224)</f>
        <v>3</v>
      </c>
      <c r="AB224" s="1">
        <f>IF(C224="","",MONTH(C224))</f>
        <v>4</v>
      </c>
      <c r="AC224" s="1">
        <f>IF(C224="","",YEAR(C224))</f>
        <v>2025</v>
      </c>
      <c r="AD224" s="1" t="s">
        <v>45</v>
      </c>
      <c r="AE224" s="1" t="s">
        <v>46</v>
      </c>
      <c r="AF224" s="1" t="s">
        <v>47</v>
      </c>
    </row>
    <row r="225" spans="1:32" s="15" customFormat="1" x14ac:dyDescent="0.25">
      <c r="A225" s="16">
        <v>225</v>
      </c>
      <c r="B225" s="16" t="s">
        <v>823</v>
      </c>
      <c r="C225" s="17">
        <v>45706.77083333333</v>
      </c>
      <c r="D225" s="17">
        <v>45713.77083333333</v>
      </c>
      <c r="E225" s="16" t="s">
        <v>824</v>
      </c>
      <c r="F225" s="16" t="s">
        <v>50</v>
      </c>
      <c r="G225" s="16" t="s">
        <v>109</v>
      </c>
      <c r="H225" s="16" t="s">
        <v>80</v>
      </c>
      <c r="I225" s="16" t="s">
        <v>81</v>
      </c>
      <c r="J225" s="16" t="s">
        <v>82</v>
      </c>
      <c r="K225" s="16" t="s">
        <v>55</v>
      </c>
      <c r="L225" s="16" t="s">
        <v>74</v>
      </c>
      <c r="M225" s="16" t="s">
        <v>825</v>
      </c>
      <c r="N225" s="16" t="s">
        <v>64</v>
      </c>
      <c r="O225" s="16">
        <v>3</v>
      </c>
      <c r="P225" s="18">
        <v>490.3</v>
      </c>
      <c r="Q225" s="19">
        <v>0.2</v>
      </c>
      <c r="R225" s="19">
        <v>0.2</v>
      </c>
      <c r="S225" s="18">
        <v>1176.72</v>
      </c>
      <c r="T225" s="18">
        <v>654.33</v>
      </c>
      <c r="U225" s="18">
        <v>522.39</v>
      </c>
      <c r="V225" s="16" t="s">
        <v>131</v>
      </c>
      <c r="W225" s="16" t="s">
        <v>122</v>
      </c>
      <c r="X225" s="18">
        <f>IF(OR(O225="",P225="",R225=""),"",O225*P225*(1-R225))</f>
        <v>1176.72</v>
      </c>
      <c r="Y225" s="18">
        <f>IF(OR(X225="",T225=""),"",X225-T225)</f>
        <v>522.39</v>
      </c>
      <c r="Z225" s="19">
        <f>IFERROR(Y225/X225,"")</f>
        <v>0.4439</v>
      </c>
      <c r="AA225" s="16">
        <f>IF(OR(C225="",D225=""),"",D225-C225)</f>
        <v>7</v>
      </c>
      <c r="AB225" s="16">
        <f>IF(C225="","",MONTH(C225))</f>
        <v>2</v>
      </c>
      <c r="AC225" s="16">
        <f>IF(C225="","",YEAR(C225))</f>
        <v>2025</v>
      </c>
      <c r="AD225" s="16" t="s">
        <v>86</v>
      </c>
      <c r="AE225" s="16" t="s">
        <v>66</v>
      </c>
      <c r="AF225" s="16" t="s">
        <v>132</v>
      </c>
    </row>
    <row r="226" spans="1:32" s="10" customFormat="1" x14ac:dyDescent="0.25">
      <c r="A226" s="11">
        <v>226</v>
      </c>
      <c r="B226" s="11" t="s">
        <v>826</v>
      </c>
      <c r="C226" s="12">
        <v>45931.77083333333</v>
      </c>
      <c r="D226" s="12">
        <v>45937.77083333333</v>
      </c>
      <c r="E226" s="11" t="s">
        <v>827</v>
      </c>
      <c r="F226" s="11" t="s">
        <v>61</v>
      </c>
      <c r="G226" s="11" t="s">
        <v>51</v>
      </c>
      <c r="H226" s="11" t="s">
        <v>36</v>
      </c>
      <c r="I226" s="11" t="s">
        <v>143</v>
      </c>
      <c r="J226" s="11" t="s">
        <v>144</v>
      </c>
      <c r="K226" s="11" t="s">
        <v>55</v>
      </c>
      <c r="L226" s="11" t="s">
        <v>74</v>
      </c>
      <c r="M226" s="11" t="s">
        <v>828</v>
      </c>
      <c r="N226" s="11" t="s">
        <v>76</v>
      </c>
      <c r="O226" s="11">
        <v>4</v>
      </c>
      <c r="P226" s="13">
        <v>3944.64</v>
      </c>
      <c r="Q226" s="14">
        <v>0.25</v>
      </c>
      <c r="R226" s="14">
        <v>0.25</v>
      </c>
      <c r="S226" s="13">
        <v>11833.92</v>
      </c>
      <c r="T226" s="13">
        <v>6682.92</v>
      </c>
      <c r="U226" s="13">
        <v>5151</v>
      </c>
      <c r="V226" s="11" t="s">
        <v>43</v>
      </c>
      <c r="W226" s="11" t="s">
        <v>85</v>
      </c>
      <c r="X226" s="13">
        <f>IF(OR(O226="",P226="",R226=""),"",O226*P226*(1-R226))</f>
        <v>11833.92</v>
      </c>
      <c r="Y226" s="13">
        <f>IF(OR(X226="",T226=""),"",X226-T226)</f>
        <v>5151</v>
      </c>
      <c r="Z226" s="14">
        <f>IFERROR(Y226/X226,"")</f>
        <v>0.4353</v>
      </c>
      <c r="AA226" s="11">
        <f>IF(OR(C226="",D226=""),"",D226-C226)</f>
        <v>6</v>
      </c>
      <c r="AB226" s="11">
        <f>IF(C226="","",MONTH(C226))</f>
        <v>10</v>
      </c>
      <c r="AC226" s="11">
        <f>IF(C226="","",YEAR(C226))</f>
        <v>2025</v>
      </c>
      <c r="AD226" s="11" t="s">
        <v>65</v>
      </c>
      <c r="AE226" s="11" t="s">
        <v>66</v>
      </c>
      <c r="AF226" s="11" t="s">
        <v>829</v>
      </c>
    </row>
    <row r="227" spans="1:32" s="10" customFormat="1" x14ac:dyDescent="0.25">
      <c r="A227" s="11">
        <v>227</v>
      </c>
      <c r="B227" s="11" t="s">
        <v>830</v>
      </c>
      <c r="C227" s="12">
        <v>45536.77083333333</v>
      </c>
      <c r="D227" s="12">
        <v>45544.77083333333</v>
      </c>
      <c r="E227" s="11" t="s">
        <v>831</v>
      </c>
      <c r="F227" s="11" t="s">
        <v>50</v>
      </c>
      <c r="G227" s="11" t="s">
        <v>109</v>
      </c>
      <c r="H227" s="11" t="s">
        <v>80</v>
      </c>
      <c r="I227" s="11" t="s">
        <v>216</v>
      </c>
      <c r="J227" s="11" t="s">
        <v>217</v>
      </c>
      <c r="K227" s="11" t="s">
        <v>93</v>
      </c>
      <c r="L227" s="11" t="s">
        <v>196</v>
      </c>
      <c r="M227" s="11" t="s">
        <v>832</v>
      </c>
      <c r="N227" s="11" t="s">
        <v>76</v>
      </c>
      <c r="O227" s="11">
        <v>6</v>
      </c>
      <c r="P227" s="13">
        <v>1032.47</v>
      </c>
      <c r="Q227" s="14">
        <v>0.15</v>
      </c>
      <c r="R227" s="14">
        <v>0.15</v>
      </c>
      <c r="S227" s="13">
        <v>5265.6</v>
      </c>
      <c r="T227" s="13">
        <v>4293.11</v>
      </c>
      <c r="U227" s="13">
        <v>787.57</v>
      </c>
      <c r="V227" s="11" t="s">
        <v>43</v>
      </c>
      <c r="W227" s="11" t="s">
        <v>44</v>
      </c>
      <c r="X227" s="13">
        <f>IF(OR(O227="",P227="",R227=""),"",O227*P227*(1-R227))</f>
        <v>5265.6</v>
      </c>
      <c r="Y227" s="13">
        <f>IF(OR(X227="",T227=""),"",X227-T227)</f>
        <v>972.49</v>
      </c>
      <c r="Z227" s="14">
        <f>IFERROR(Y227/X227,"")</f>
        <v>0.1847</v>
      </c>
      <c r="AA227" s="11">
        <f>IF(OR(C227="",D227=""),"",D227-C227)</f>
        <v>8</v>
      </c>
      <c r="AB227" s="11">
        <f>IF(C227="","",MONTH(C227))</f>
        <v>9</v>
      </c>
      <c r="AC227" s="11">
        <f>IF(C227="","",YEAR(C227))</f>
        <v>2024</v>
      </c>
      <c r="AD227" s="11" t="s">
        <v>65</v>
      </c>
      <c r="AE227" s="11" t="s">
        <v>66</v>
      </c>
      <c r="AF227" s="11" t="s">
        <v>332</v>
      </c>
    </row>
    <row r="228" spans="1:32" s="15" customFormat="1" x14ac:dyDescent="0.25">
      <c r="A228" s="16">
        <v>228</v>
      </c>
      <c r="B228" s="16" t="s">
        <v>833</v>
      </c>
      <c r="C228" s="17">
        <v>45756.77083333333</v>
      </c>
      <c r="D228" s="17">
        <v>45761.77083333333</v>
      </c>
      <c r="E228" s="16" t="s">
        <v>834</v>
      </c>
      <c r="F228" s="16" t="s">
        <v>186</v>
      </c>
      <c r="G228" s="16" t="s">
        <v>114</v>
      </c>
      <c r="H228" s="16" t="s">
        <v>232</v>
      </c>
      <c r="I228" s="16" t="s">
        <v>211</v>
      </c>
      <c r="J228" s="16" t="s">
        <v>212</v>
      </c>
      <c r="K228" s="16" t="s">
        <v>93</v>
      </c>
      <c r="L228" s="16" t="s">
        <v>99</v>
      </c>
      <c r="M228" s="16" t="s">
        <v>835</v>
      </c>
      <c r="N228" s="16" t="s">
        <v>58</v>
      </c>
      <c r="O228" s="16">
        <v>1</v>
      </c>
      <c r="P228" s="18">
        <v>2208.27</v>
      </c>
      <c r="Q228" s="19">
        <v>0.1</v>
      </c>
      <c r="R228" s="19">
        <v>0.1</v>
      </c>
      <c r="S228" s="18">
        <v>1987.44</v>
      </c>
      <c r="T228" s="18">
        <v>1110.23</v>
      </c>
      <c r="U228" s="18">
        <v>877.21</v>
      </c>
      <c r="V228" s="16" t="s">
        <v>43</v>
      </c>
      <c r="W228" s="16" t="s">
        <v>44</v>
      </c>
      <c r="X228" s="18">
        <f>IF(OR(O228="",P228="",R228=""),"",O228*P228*(1-R228))</f>
        <v>1987.44</v>
      </c>
      <c r="Y228" s="18">
        <f>IF(OR(X228="",T228=""),"",X228-T228)</f>
        <v>877.21</v>
      </c>
      <c r="Z228" s="19">
        <f>IFERROR(Y228/X228,"")</f>
        <v>0.4414</v>
      </c>
      <c r="AA228" s="16">
        <f>IF(OR(C228="",D228=""),"",D228-C228)</f>
        <v>5</v>
      </c>
      <c r="AB228" s="16">
        <f>IF(C228="","",MONTH(C228))</f>
        <v>4</v>
      </c>
      <c r="AC228" s="16">
        <f>IF(C228="","",YEAR(C228))</f>
        <v>2025</v>
      </c>
      <c r="AD228" s="16" t="s">
        <v>86</v>
      </c>
      <c r="AE228" s="16" t="s">
        <v>46</v>
      </c>
      <c r="AF228" s="16" t="s">
        <v>487</v>
      </c>
    </row>
    <row r="229" spans="1:32" x14ac:dyDescent="0.25">
      <c r="A229" s="1">
        <v>229</v>
      </c>
      <c r="B229" s="1" t="s">
        <v>836</v>
      </c>
      <c r="C229" s="2">
        <v>45477.77083333333</v>
      </c>
      <c r="D229" s="2">
        <v>45484.77083333333</v>
      </c>
      <c r="E229" s="1" t="s">
        <v>837</v>
      </c>
      <c r="F229" s="1" t="s">
        <v>79</v>
      </c>
      <c r="G229" s="1" t="s">
        <v>51</v>
      </c>
      <c r="H229" s="1" t="s">
        <v>80</v>
      </c>
      <c r="I229" s="1" t="s">
        <v>216</v>
      </c>
      <c r="J229" s="1" t="s">
        <v>217</v>
      </c>
      <c r="K229" s="1" t="s">
        <v>39</v>
      </c>
      <c r="L229" s="1" t="s">
        <v>176</v>
      </c>
      <c r="M229" s="1" t="s">
        <v>838</v>
      </c>
      <c r="N229" s="1" t="s">
        <v>64</v>
      </c>
      <c r="O229" s="1">
        <v>3</v>
      </c>
      <c r="P229" s="3">
        <v>577.75</v>
      </c>
      <c r="Q229" s="4">
        <v>0.15</v>
      </c>
      <c r="R229" s="4">
        <v>0.15</v>
      </c>
      <c r="S229" s="3">
        <v>1473.26</v>
      </c>
      <c r="T229" s="3">
        <v>899.86</v>
      </c>
      <c r="U229" s="3">
        <v>573.4</v>
      </c>
      <c r="V229" s="1" t="s">
        <v>43</v>
      </c>
      <c r="W229" s="1" t="s">
        <v>44</v>
      </c>
      <c r="X229" s="3">
        <f>IF(OR(O229="",P229="",R229=""),"",O229*P229*(1-R229))</f>
        <v>1473.26</v>
      </c>
      <c r="Y229" s="3">
        <f>IF(OR(X229="",T229=""),"",X229-T229)</f>
        <v>573.4</v>
      </c>
      <c r="Z229" s="4">
        <f>IFERROR(Y229/X229,"")</f>
        <v>0.3892</v>
      </c>
      <c r="AA229" s="1">
        <f>IF(OR(C229="",D229=""),"",D229-C229)</f>
        <v>7</v>
      </c>
      <c r="AB229" s="1">
        <f>IF(C229="","",MONTH(C229))</f>
        <v>7</v>
      </c>
      <c r="AC229" s="1">
        <f>IF(C229="","",YEAR(C229))</f>
        <v>2024</v>
      </c>
      <c r="AD229" s="1" t="s">
        <v>45</v>
      </c>
      <c r="AE229" s="1" t="s">
        <v>46</v>
      </c>
      <c r="AF229" s="1" t="s">
        <v>47</v>
      </c>
    </row>
    <row r="230" spans="1:32" x14ac:dyDescent="0.25">
      <c r="A230" s="1">
        <v>230</v>
      </c>
      <c r="B230" s="1" t="s">
        <v>839</v>
      </c>
      <c r="C230" s="2">
        <v>45405.77083333333</v>
      </c>
      <c r="D230" s="2">
        <v>45409.77083333333</v>
      </c>
      <c r="E230" s="1" t="s">
        <v>840</v>
      </c>
      <c r="F230" s="1" t="s">
        <v>34</v>
      </c>
      <c r="G230" s="1" t="s">
        <v>51</v>
      </c>
      <c r="H230" s="1" t="s">
        <v>71</v>
      </c>
      <c r="I230" s="1" t="s">
        <v>72</v>
      </c>
      <c r="J230" s="1" t="s">
        <v>73</v>
      </c>
      <c r="K230" s="1" t="s">
        <v>39</v>
      </c>
      <c r="L230" s="1" t="s">
        <v>110</v>
      </c>
      <c r="M230" s="1" t="s">
        <v>841</v>
      </c>
      <c r="N230" s="1" t="s">
        <v>42</v>
      </c>
      <c r="O230" s="1">
        <v>1</v>
      </c>
      <c r="P230" s="3">
        <v>3194.37</v>
      </c>
      <c r="Q230" s="4">
        <v>0.15</v>
      </c>
      <c r="R230" s="4">
        <v>0.15</v>
      </c>
      <c r="S230" s="3">
        <v>2715.21</v>
      </c>
      <c r="T230" s="3">
        <v>1551.55</v>
      </c>
      <c r="U230" s="3">
        <v>1163.66</v>
      </c>
      <c r="V230" s="1" t="s">
        <v>43</v>
      </c>
      <c r="W230" s="1" t="s">
        <v>44</v>
      </c>
      <c r="X230" s="3">
        <f>IF(OR(O230="",P230="",R230=""),"",O230*P230*(1-R230))</f>
        <v>2715.21</v>
      </c>
      <c r="Y230" s="3">
        <f>IF(OR(X230="",T230=""),"",X230-T230)</f>
        <v>1163.66</v>
      </c>
      <c r="Z230" s="4">
        <f>IFERROR(Y230/X230,"")</f>
        <v>0.4286</v>
      </c>
      <c r="AA230" s="1">
        <f>IF(OR(C230="",D230=""),"",D230-C230)</f>
        <v>4</v>
      </c>
      <c r="AB230" s="1">
        <f>IF(C230="","",MONTH(C230))</f>
        <v>4</v>
      </c>
      <c r="AC230" s="1">
        <f>IF(C230="","",YEAR(C230))</f>
        <v>2024</v>
      </c>
      <c r="AD230" s="1" t="s">
        <v>45</v>
      </c>
      <c r="AE230" s="1" t="s">
        <v>46</v>
      </c>
      <c r="AF230" s="1" t="s">
        <v>47</v>
      </c>
    </row>
    <row r="231" spans="1:32" s="15" customFormat="1" x14ac:dyDescent="0.25">
      <c r="A231" s="16">
        <v>231</v>
      </c>
      <c r="B231" s="16" t="s">
        <v>842</v>
      </c>
      <c r="C231" s="17">
        <v>45835.77083333333</v>
      </c>
      <c r="D231" s="17">
        <v>45841.77083333333</v>
      </c>
      <c r="E231" s="16" t="s">
        <v>843</v>
      </c>
      <c r="F231" s="16" t="s">
        <v>163</v>
      </c>
      <c r="G231" s="16" t="s">
        <v>35</v>
      </c>
      <c r="H231" s="16" t="s">
        <v>71</v>
      </c>
      <c r="I231" s="16" t="s">
        <v>72</v>
      </c>
      <c r="J231" s="16" t="s">
        <v>73</v>
      </c>
      <c r="K231" s="16" t="s">
        <v>55</v>
      </c>
      <c r="L231" s="16" t="s">
        <v>182</v>
      </c>
      <c r="M231" s="16" t="s">
        <v>844</v>
      </c>
      <c r="N231" s="16" t="s">
        <v>64</v>
      </c>
      <c r="O231" s="16">
        <v>3</v>
      </c>
      <c r="P231" s="18">
        <v>2886.23</v>
      </c>
      <c r="Q231" s="19">
        <v>0</v>
      </c>
      <c r="R231" s="19">
        <v>0</v>
      </c>
      <c r="S231" s="18">
        <v>8658.69</v>
      </c>
      <c r="T231" s="18">
        <v>5535.94</v>
      </c>
      <c r="U231" s="18">
        <v>3122.75</v>
      </c>
      <c r="V231" s="16" t="s">
        <v>121</v>
      </c>
      <c r="W231" s="16" t="s">
        <v>122</v>
      </c>
      <c r="X231" s="18">
        <f>IF(OR(O231="",P231="",R231=""),"",O231*P231*(1-R231))</f>
        <v>8658.69</v>
      </c>
      <c r="Y231" s="18">
        <f>IF(OR(X231="",T231=""),"",X231-T231)</f>
        <v>3122.75</v>
      </c>
      <c r="Z231" s="19">
        <f>IFERROR(Y231/X231,"")</f>
        <v>0.3606</v>
      </c>
      <c r="AA231" s="16">
        <f>IF(OR(C231="",D231=""),"",D231-C231)</f>
        <v>6</v>
      </c>
      <c r="AB231" s="16">
        <f>IF(C231="","",MONTH(C231))</f>
        <v>6</v>
      </c>
      <c r="AC231" s="16">
        <f>IF(C231="","",YEAR(C231))</f>
        <v>2025</v>
      </c>
      <c r="AD231" s="16" t="s">
        <v>86</v>
      </c>
      <c r="AE231" s="16" t="s">
        <v>66</v>
      </c>
      <c r="AF231" s="16" t="s">
        <v>123</v>
      </c>
    </row>
    <row r="232" spans="1:32" x14ac:dyDescent="0.25">
      <c r="A232" s="1">
        <v>232</v>
      </c>
      <c r="B232" s="1" t="s">
        <v>845</v>
      </c>
      <c r="C232" s="2">
        <v>45439.77083333333</v>
      </c>
      <c r="D232" s="2">
        <v>45445.77083333333</v>
      </c>
      <c r="E232" s="1" t="s">
        <v>846</v>
      </c>
      <c r="F232" s="1" t="s">
        <v>98</v>
      </c>
      <c r="G232" s="1" t="s">
        <v>51</v>
      </c>
      <c r="H232" s="1" t="s">
        <v>36</v>
      </c>
      <c r="I232" s="1" t="s">
        <v>37</v>
      </c>
      <c r="J232" s="1" t="s">
        <v>38</v>
      </c>
      <c r="K232" s="1" t="s">
        <v>39</v>
      </c>
      <c r="L232" s="1" t="s">
        <v>40</v>
      </c>
      <c r="M232" s="1" t="s">
        <v>847</v>
      </c>
      <c r="N232" s="1" t="s">
        <v>76</v>
      </c>
      <c r="O232" s="1">
        <v>8</v>
      </c>
      <c r="P232" s="3">
        <v>1540.33</v>
      </c>
      <c r="Q232" s="4">
        <v>0.1</v>
      </c>
      <c r="R232" s="4">
        <v>0.1</v>
      </c>
      <c r="S232" s="3">
        <v>11090.38</v>
      </c>
      <c r="T232" s="3">
        <v>8840.95</v>
      </c>
      <c r="U232" s="3">
        <v>2249.43</v>
      </c>
      <c r="V232" s="1" t="s">
        <v>43</v>
      </c>
      <c r="W232" s="1" t="s">
        <v>44</v>
      </c>
      <c r="X232" s="3">
        <f>IF(OR(O232="",P232="",R232=""),"",O232*P232*(1-R232))</f>
        <v>11090.38</v>
      </c>
      <c r="Y232" s="3">
        <f>IF(OR(X232="",T232=""),"",X232-T232)</f>
        <v>2249.43</v>
      </c>
      <c r="Z232" s="4">
        <f>IFERROR(Y232/X232,"")</f>
        <v>0.2028</v>
      </c>
      <c r="AA232" s="1">
        <f>IF(OR(C232="",D232=""),"",D232-C232)</f>
        <v>6</v>
      </c>
      <c r="AB232" s="1">
        <f>IF(C232="","",MONTH(C232))</f>
        <v>5</v>
      </c>
      <c r="AC232" s="1">
        <f>IF(C232="","",YEAR(C232))</f>
        <v>2024</v>
      </c>
      <c r="AD232" s="1" t="s">
        <v>45</v>
      </c>
      <c r="AE232" s="1" t="s">
        <v>46</v>
      </c>
      <c r="AF232" s="1" t="s">
        <v>47</v>
      </c>
    </row>
    <row r="233" spans="1:32" s="15" customFormat="1" x14ac:dyDescent="0.25">
      <c r="A233" s="16">
        <v>233</v>
      </c>
      <c r="B233" s="16" t="s">
        <v>848</v>
      </c>
      <c r="C233" s="17">
        <v>45413.77083333333</v>
      </c>
      <c r="D233" s="17">
        <v>45413.77083333333</v>
      </c>
      <c r="E233" s="16" t="s">
        <v>849</v>
      </c>
      <c r="F233" s="16" t="s">
        <v>79</v>
      </c>
      <c r="G233" s="16" t="s">
        <v>109</v>
      </c>
      <c r="H233" s="16" t="s">
        <v>36</v>
      </c>
      <c r="I233" s="16" t="s">
        <v>37</v>
      </c>
      <c r="J233" s="16" t="s">
        <v>38</v>
      </c>
      <c r="K233" s="16" t="s">
        <v>39</v>
      </c>
      <c r="L233" s="16" t="s">
        <v>110</v>
      </c>
      <c r="M233" s="16" t="s">
        <v>850</v>
      </c>
      <c r="N233" s="16" t="s">
        <v>64</v>
      </c>
      <c r="O233" s="16">
        <v>7</v>
      </c>
      <c r="P233" s="18">
        <v>2183.38</v>
      </c>
      <c r="Q233" s="19">
        <v>0.25</v>
      </c>
      <c r="R233" s="19">
        <v>0.25</v>
      </c>
      <c r="S233" s="18">
        <v>11462.74</v>
      </c>
      <c r="T233" s="18">
        <v>7163.54</v>
      </c>
      <c r="U233" s="18">
        <v>4299.2</v>
      </c>
      <c r="V233" s="16" t="s">
        <v>121</v>
      </c>
      <c r="W233" s="16" t="s">
        <v>85</v>
      </c>
      <c r="X233" s="18">
        <f>IF(OR(O233="",P233="",R233=""),"",O233*P233*(1-R233))</f>
        <v>11462.75</v>
      </c>
      <c r="Y233" s="18">
        <f>IF(OR(X233="",T233=""),"",X233-T233)</f>
        <v>4299.21</v>
      </c>
      <c r="Z233" s="19">
        <f>IFERROR(Y233/X233,"")</f>
        <v>0.3751</v>
      </c>
      <c r="AA233" s="16">
        <f>IF(OR(C233="",D233=""),"",D233-C233)</f>
        <v>0</v>
      </c>
      <c r="AB233" s="16">
        <f>IF(C233="","",MONTH(C233))</f>
        <v>5</v>
      </c>
      <c r="AC233" s="16">
        <f>IF(C233="","",YEAR(C233))</f>
        <v>2024</v>
      </c>
      <c r="AD233" s="16" t="s">
        <v>86</v>
      </c>
      <c r="AE233" s="16" t="s">
        <v>66</v>
      </c>
      <c r="AF233" s="16" t="s">
        <v>160</v>
      </c>
    </row>
    <row r="234" spans="1:32" x14ac:dyDescent="0.25">
      <c r="A234" s="1">
        <v>234</v>
      </c>
      <c r="B234" s="1" t="s">
        <v>851</v>
      </c>
      <c r="C234" s="2">
        <v>45811.77083333333</v>
      </c>
      <c r="D234" s="2">
        <v>45817.77083333333</v>
      </c>
      <c r="E234" s="1" t="s">
        <v>852</v>
      </c>
      <c r="F234" s="1" t="s">
        <v>139</v>
      </c>
      <c r="G234" s="1" t="s">
        <v>35</v>
      </c>
      <c r="H234" s="1" t="s">
        <v>71</v>
      </c>
      <c r="I234" s="1" t="s">
        <v>103</v>
      </c>
      <c r="J234" s="1" t="s">
        <v>104</v>
      </c>
      <c r="K234" s="1" t="s">
        <v>93</v>
      </c>
      <c r="L234" s="1" t="s">
        <v>196</v>
      </c>
      <c r="M234" s="1" t="s">
        <v>853</v>
      </c>
      <c r="N234" s="1" t="s">
        <v>76</v>
      </c>
      <c r="O234" s="1">
        <v>4</v>
      </c>
      <c r="P234" s="3">
        <v>223.37</v>
      </c>
      <c r="Q234" s="4">
        <v>0.25</v>
      </c>
      <c r="R234" s="4">
        <v>0.25</v>
      </c>
      <c r="S234" s="3">
        <v>670.11</v>
      </c>
      <c r="T234" s="3">
        <v>559.57</v>
      </c>
      <c r="U234" s="3">
        <v>110.54</v>
      </c>
      <c r="V234" s="1" t="s">
        <v>43</v>
      </c>
      <c r="W234" s="1" t="s">
        <v>44</v>
      </c>
      <c r="X234" s="3">
        <f>IF(OR(O234="",P234="",R234=""),"",O234*P234*(1-R234))</f>
        <v>670.11</v>
      </c>
      <c r="Y234" s="3">
        <f>IF(OR(X234="",T234=""),"",X234-T234)</f>
        <v>110.54</v>
      </c>
      <c r="Z234" s="4">
        <f>IFERROR(Y234/X234,"")</f>
        <v>0.165</v>
      </c>
      <c r="AA234" s="1">
        <f>IF(OR(C234="",D234=""),"",D234-C234)</f>
        <v>6</v>
      </c>
      <c r="AB234" s="1">
        <f>IF(C234="","",MONTH(C234))</f>
        <v>6</v>
      </c>
      <c r="AC234" s="1">
        <f>IF(C234="","",YEAR(C234))</f>
        <v>2025</v>
      </c>
      <c r="AD234" s="1" t="s">
        <v>45</v>
      </c>
      <c r="AE234" s="1" t="s">
        <v>46</v>
      </c>
      <c r="AF234" s="1" t="s">
        <v>47</v>
      </c>
    </row>
    <row r="235" spans="1:32" s="15" customFormat="1" x14ac:dyDescent="0.25">
      <c r="A235" s="16">
        <v>235</v>
      </c>
      <c r="B235" s="16" t="s">
        <v>854</v>
      </c>
      <c r="C235" s="17">
        <v>45578.77083333333</v>
      </c>
      <c r="D235" s="17">
        <v>45578.77083333333</v>
      </c>
      <c r="E235" s="16" t="s">
        <v>855</v>
      </c>
      <c r="F235" s="16" t="s">
        <v>90</v>
      </c>
      <c r="G235" s="16" t="s">
        <v>109</v>
      </c>
      <c r="H235" s="16" t="s">
        <v>71</v>
      </c>
      <c r="I235" s="16" t="s">
        <v>201</v>
      </c>
      <c r="J235" s="16" t="s">
        <v>202</v>
      </c>
      <c r="K235" s="16" t="s">
        <v>55</v>
      </c>
      <c r="L235" s="16" t="s">
        <v>182</v>
      </c>
      <c r="M235" s="16" t="s">
        <v>856</v>
      </c>
      <c r="N235" s="16" t="s">
        <v>232</v>
      </c>
      <c r="O235" s="16">
        <v>8</v>
      </c>
      <c r="P235" s="18">
        <v>3904.59</v>
      </c>
      <c r="Q235" s="19">
        <v>0</v>
      </c>
      <c r="R235" s="19">
        <v>0</v>
      </c>
      <c r="S235" s="18">
        <v>31236.72</v>
      </c>
      <c r="T235" s="18">
        <v>26377.7</v>
      </c>
      <c r="U235" s="18">
        <v>4859.02</v>
      </c>
      <c r="V235" s="16" t="s">
        <v>43</v>
      </c>
      <c r="W235" s="16" t="s">
        <v>44</v>
      </c>
      <c r="X235" s="18">
        <f>IF(OR(O235="",P235="",R235=""),"",O235*P235*(1-R235))</f>
        <v>31236.72</v>
      </c>
      <c r="Y235" s="18">
        <f>IF(OR(X235="",T235=""),"",X235-T235)</f>
        <v>4859.02</v>
      </c>
      <c r="Z235" s="19">
        <f>IFERROR(Y235/X235,"")</f>
        <v>0.1556</v>
      </c>
      <c r="AA235" s="16">
        <f>IF(OR(C235="",D235=""),"",D235-C235)</f>
        <v>0</v>
      </c>
      <c r="AB235" s="16">
        <f>IF(C235="","",MONTH(C235))</f>
        <v>10</v>
      </c>
      <c r="AC235" s="16">
        <f>IF(C235="","",YEAR(C235))</f>
        <v>2024</v>
      </c>
      <c r="AD235" s="16" t="s">
        <v>86</v>
      </c>
      <c r="AE235" s="16" t="s">
        <v>46</v>
      </c>
      <c r="AF235" s="16" t="s">
        <v>442</v>
      </c>
    </row>
    <row r="236" spans="1:32" x14ac:dyDescent="0.25">
      <c r="A236" s="1">
        <v>236</v>
      </c>
      <c r="B236" s="1" t="s">
        <v>857</v>
      </c>
      <c r="C236" s="2">
        <v>45536.77083333333</v>
      </c>
      <c r="D236" s="2">
        <v>45537.77083333333</v>
      </c>
      <c r="E236" s="1" t="s">
        <v>858</v>
      </c>
      <c r="F236" s="1" t="s">
        <v>294</v>
      </c>
      <c r="G236" s="1" t="s">
        <v>114</v>
      </c>
      <c r="H236" s="1" t="s">
        <v>36</v>
      </c>
      <c r="I236" s="1" t="s">
        <v>384</v>
      </c>
      <c r="J236" s="1" t="s">
        <v>385</v>
      </c>
      <c r="K236" s="1" t="s">
        <v>55</v>
      </c>
      <c r="L236" s="1" t="s">
        <v>74</v>
      </c>
      <c r="M236" s="1" t="s">
        <v>859</v>
      </c>
      <c r="N236" s="1" t="s">
        <v>64</v>
      </c>
      <c r="O236" s="1">
        <v>9</v>
      </c>
      <c r="P236" s="3">
        <v>1353.61</v>
      </c>
      <c r="Q236" s="4">
        <v>0.1</v>
      </c>
      <c r="R236" s="4">
        <v>0.1</v>
      </c>
      <c r="S236" s="3">
        <v>10964.24</v>
      </c>
      <c r="T236" s="3">
        <v>9262.47</v>
      </c>
      <c r="U236" s="3">
        <v>1701.77</v>
      </c>
      <c r="V236" s="1" t="s">
        <v>43</v>
      </c>
      <c r="W236" s="1" t="s">
        <v>44</v>
      </c>
      <c r="X236" s="3">
        <f>IF(OR(O236="",P236="",R236=""),"",O236*P236*(1-R236))</f>
        <v>10964.24</v>
      </c>
      <c r="Y236" s="3">
        <f>IF(OR(X236="",T236=""),"",X236-T236)</f>
        <v>1701.77</v>
      </c>
      <c r="Z236" s="4">
        <f>IFERROR(Y236/X236,"")</f>
        <v>0.1552</v>
      </c>
      <c r="AA236" s="1">
        <f>IF(OR(C236="",D236=""),"",D236-C236)</f>
        <v>1</v>
      </c>
      <c r="AB236" s="1">
        <f>IF(C236="","",MONTH(C236))</f>
        <v>9</v>
      </c>
      <c r="AC236" s="1">
        <f>IF(C236="","",YEAR(C236))</f>
        <v>2024</v>
      </c>
      <c r="AD236" s="1" t="s">
        <v>45</v>
      </c>
      <c r="AE236" s="1" t="s">
        <v>46</v>
      </c>
      <c r="AF236" s="1" t="s">
        <v>47</v>
      </c>
    </row>
    <row r="237" spans="1:32" x14ac:dyDescent="0.25">
      <c r="A237" s="1">
        <v>237</v>
      </c>
      <c r="B237" s="1" t="s">
        <v>860</v>
      </c>
      <c r="C237" s="2">
        <v>45597.77083333333</v>
      </c>
      <c r="D237" s="2">
        <v>45598.77083333333</v>
      </c>
      <c r="E237" s="1" t="s">
        <v>861</v>
      </c>
      <c r="F237" s="1" t="s">
        <v>139</v>
      </c>
      <c r="G237" s="1" t="s">
        <v>51</v>
      </c>
      <c r="H237" s="1" t="s">
        <v>80</v>
      </c>
      <c r="I237" s="1" t="s">
        <v>37</v>
      </c>
      <c r="J237" s="1" t="s">
        <v>129</v>
      </c>
      <c r="K237" s="1" t="s">
        <v>39</v>
      </c>
      <c r="L237" s="1" t="s">
        <v>145</v>
      </c>
      <c r="M237" s="1" t="s">
        <v>862</v>
      </c>
      <c r="N237" s="1" t="s">
        <v>76</v>
      </c>
      <c r="O237" s="1">
        <v>6</v>
      </c>
      <c r="P237" s="3">
        <v>2671.29</v>
      </c>
      <c r="Q237" s="4">
        <v>0.05</v>
      </c>
      <c r="R237" s="4">
        <v>0.05</v>
      </c>
      <c r="S237" s="3">
        <v>15226.35</v>
      </c>
      <c r="T237" s="3">
        <v>11145.28</v>
      </c>
      <c r="U237" s="3">
        <v>4081.07</v>
      </c>
      <c r="V237" s="1" t="s">
        <v>43</v>
      </c>
      <c r="W237" s="1" t="s">
        <v>44</v>
      </c>
      <c r="X237" s="3">
        <f>IF(OR(O237="",P237="",R237=""),"",O237*P237*(1-R237))</f>
        <v>15226.35</v>
      </c>
      <c r="Y237" s="3">
        <f>IF(OR(X237="",T237=""),"",X237-T237)</f>
        <v>4081.07</v>
      </c>
      <c r="Z237" s="4">
        <f>IFERROR(Y237/X237,"")</f>
        <v>0.268</v>
      </c>
      <c r="AA237" s="1">
        <f>IF(OR(C237="",D237=""),"",D237-C237)</f>
        <v>1</v>
      </c>
      <c r="AB237" s="1">
        <f>IF(C237="","",MONTH(C237))</f>
        <v>11</v>
      </c>
      <c r="AC237" s="1">
        <f>IF(C237="","",YEAR(C237))</f>
        <v>2024</v>
      </c>
      <c r="AD237" s="1" t="s">
        <v>45</v>
      </c>
      <c r="AE237" s="1" t="s">
        <v>46</v>
      </c>
      <c r="AF237" s="1" t="s">
        <v>47</v>
      </c>
    </row>
    <row r="238" spans="1:32" x14ac:dyDescent="0.25">
      <c r="A238" s="1">
        <v>238</v>
      </c>
      <c r="B238" s="1" t="s">
        <v>863</v>
      </c>
      <c r="C238" s="2">
        <v>45578.77083333333</v>
      </c>
      <c r="D238" s="2">
        <v>45585.77083333333</v>
      </c>
      <c r="E238" s="1" t="s">
        <v>864</v>
      </c>
      <c r="F238" s="1" t="s">
        <v>135</v>
      </c>
      <c r="G238" s="1" t="s">
        <v>109</v>
      </c>
      <c r="H238" s="1" t="s">
        <v>36</v>
      </c>
      <c r="I238" s="1" t="s">
        <v>157</v>
      </c>
      <c r="J238" s="1" t="s">
        <v>158</v>
      </c>
      <c r="K238" s="1" t="s">
        <v>55</v>
      </c>
      <c r="L238" s="1" t="s">
        <v>182</v>
      </c>
      <c r="M238" s="1" t="s">
        <v>865</v>
      </c>
      <c r="N238" s="1" t="s">
        <v>64</v>
      </c>
      <c r="O238" s="1">
        <v>6</v>
      </c>
      <c r="P238" s="3">
        <v>4062.78</v>
      </c>
      <c r="Q238" s="4">
        <v>0</v>
      </c>
      <c r="R238" s="4">
        <v>0</v>
      </c>
      <c r="S238" s="3">
        <v>24376.68</v>
      </c>
      <c r="T238" s="3">
        <v>18533.39</v>
      </c>
      <c r="U238" s="3">
        <v>5843.29</v>
      </c>
      <c r="V238" s="1" t="s">
        <v>43</v>
      </c>
      <c r="W238" s="1" t="s">
        <v>44</v>
      </c>
      <c r="X238" s="3">
        <f>IF(OR(O238="",P238="",R238=""),"",O238*P238*(1-R238))</f>
        <v>24376.68</v>
      </c>
      <c r="Y238" s="3">
        <f>IF(OR(X238="",T238=""),"",X238-T238)</f>
        <v>5843.29</v>
      </c>
      <c r="Z238" s="4">
        <f>IFERROR(Y238/X238,"")</f>
        <v>0.2397</v>
      </c>
      <c r="AA238" s="1">
        <f>IF(OR(C238="",D238=""),"",D238-C238)</f>
        <v>7</v>
      </c>
      <c r="AB238" s="1">
        <f>IF(C238="","",MONTH(C238))</f>
        <v>10</v>
      </c>
      <c r="AC238" s="1">
        <f>IF(C238="","",YEAR(C238))</f>
        <v>2024</v>
      </c>
      <c r="AD238" s="1" t="s">
        <v>45</v>
      </c>
      <c r="AE238" s="1" t="s">
        <v>46</v>
      </c>
      <c r="AF238" s="1" t="s">
        <v>47</v>
      </c>
    </row>
    <row r="239" spans="1:32" x14ac:dyDescent="0.25">
      <c r="A239" s="1">
        <v>239</v>
      </c>
      <c r="B239" s="1" t="s">
        <v>866</v>
      </c>
      <c r="C239" s="2">
        <v>45530.77083333333</v>
      </c>
      <c r="D239" s="2">
        <v>45530.77083333333</v>
      </c>
      <c r="E239" s="1" t="s">
        <v>867</v>
      </c>
      <c r="F239" s="1" t="s">
        <v>50</v>
      </c>
      <c r="G239" s="1" t="s">
        <v>35</v>
      </c>
      <c r="H239" s="1" t="s">
        <v>36</v>
      </c>
      <c r="I239" s="1" t="s">
        <v>266</v>
      </c>
      <c r="J239" s="1" t="s">
        <v>267</v>
      </c>
      <c r="K239" s="1" t="s">
        <v>93</v>
      </c>
      <c r="L239" s="1" t="s">
        <v>99</v>
      </c>
      <c r="M239" s="1" t="s">
        <v>868</v>
      </c>
      <c r="N239" s="1" t="s">
        <v>76</v>
      </c>
      <c r="O239" s="1">
        <v>9</v>
      </c>
      <c r="P239" s="3">
        <v>2330.3</v>
      </c>
      <c r="Q239" s="4">
        <v>0</v>
      </c>
      <c r="R239" s="4">
        <v>0</v>
      </c>
      <c r="S239" s="3">
        <v>20972.7</v>
      </c>
      <c r="T239" s="3">
        <v>13504.88</v>
      </c>
      <c r="U239" s="3">
        <v>7467.82</v>
      </c>
      <c r="V239" s="1" t="s">
        <v>43</v>
      </c>
      <c r="W239" s="1" t="s">
        <v>44</v>
      </c>
      <c r="X239" s="3">
        <f>IF(OR(O239="",P239="",R239=""),"",O239*P239*(1-R239))</f>
        <v>20972.7</v>
      </c>
      <c r="Y239" s="3">
        <f>IF(OR(X239="",T239=""),"",X239-T239)</f>
        <v>7467.82</v>
      </c>
      <c r="Z239" s="4">
        <f>IFERROR(Y239/X239,"")</f>
        <v>0.3561</v>
      </c>
      <c r="AA239" s="1">
        <f>IF(OR(C239="",D239=""),"",D239-C239)</f>
        <v>0</v>
      </c>
      <c r="AB239" s="1">
        <f>IF(C239="","",MONTH(C239))</f>
        <v>8</v>
      </c>
      <c r="AC239" s="1">
        <f>IF(C239="","",YEAR(C239))</f>
        <v>2024</v>
      </c>
      <c r="AD239" s="1" t="s">
        <v>45</v>
      </c>
      <c r="AE239" s="1" t="s">
        <v>46</v>
      </c>
      <c r="AF239" s="1" t="s">
        <v>47</v>
      </c>
    </row>
    <row r="240" spans="1:32" s="10" customFormat="1" x14ac:dyDescent="0.25">
      <c r="A240" s="11">
        <v>240</v>
      </c>
      <c r="B240" s="11" t="s">
        <v>869</v>
      </c>
      <c r="C240" s="12">
        <v>45302.77083333333</v>
      </c>
      <c r="D240" s="12">
        <v>45307.77083333333</v>
      </c>
      <c r="E240" s="11" t="s">
        <v>870</v>
      </c>
      <c r="F240" s="11" t="s">
        <v>70</v>
      </c>
      <c r="G240" s="11" t="s">
        <v>35</v>
      </c>
      <c r="H240" s="11" t="s">
        <v>71</v>
      </c>
      <c r="I240" s="11" t="s">
        <v>103</v>
      </c>
      <c r="J240" s="11" t="s">
        <v>104</v>
      </c>
      <c r="K240" s="11" t="s">
        <v>39</v>
      </c>
      <c r="L240" s="11" t="s">
        <v>145</v>
      </c>
      <c r="M240" s="11" t="s">
        <v>871</v>
      </c>
      <c r="N240" s="11" t="s">
        <v>64</v>
      </c>
      <c r="O240" s="11">
        <v>7</v>
      </c>
      <c r="P240" s="13">
        <v>4005.05</v>
      </c>
      <c r="Q240" s="14">
        <v>0.55</v>
      </c>
      <c r="R240" s="14">
        <v>0.55</v>
      </c>
      <c r="S240" s="13">
        <v>26633.58</v>
      </c>
      <c r="T240" s="13">
        <v>18838.75</v>
      </c>
      <c r="U240" s="13">
        <v>7794.83</v>
      </c>
      <c r="V240" s="11" t="s">
        <v>43</v>
      </c>
      <c r="W240" s="11" t="s">
        <v>44</v>
      </c>
      <c r="X240" s="13">
        <f>IF(OR(O240="",P240="",R240=""),"",O240*P240*(1-R240))</f>
        <v>12615.91</v>
      </c>
      <c r="Y240" s="13">
        <f>IF(OR(X240="",T240=""),"",X240-T240)</f>
        <v>-6222.84</v>
      </c>
      <c r="Z240" s="14">
        <f>IFERROR(Y240/X240,"")</f>
        <v>-0.4933</v>
      </c>
      <c r="AA240" s="11">
        <f>IF(OR(C240="",D240=""),"",D240-C240)</f>
        <v>5</v>
      </c>
      <c r="AB240" s="11">
        <f>IF(C240="","",MONTH(C240))</f>
        <v>1</v>
      </c>
      <c r="AC240" s="11">
        <f>IF(C240="","",YEAR(C240))</f>
        <v>2024</v>
      </c>
      <c r="AD240" s="11" t="s">
        <v>65</v>
      </c>
      <c r="AE240" s="11" t="s">
        <v>66</v>
      </c>
      <c r="AF240" s="11" t="s">
        <v>67</v>
      </c>
    </row>
    <row r="241" spans="1:32" x14ac:dyDescent="0.25">
      <c r="A241" s="1">
        <v>241</v>
      </c>
      <c r="B241" s="1" t="s">
        <v>872</v>
      </c>
      <c r="C241" s="2">
        <v>45555.77083333333</v>
      </c>
      <c r="D241" s="2">
        <v>45555.77083333333</v>
      </c>
      <c r="E241" s="1" t="s">
        <v>873</v>
      </c>
      <c r="F241" s="1" t="s">
        <v>294</v>
      </c>
      <c r="G241" s="1" t="s">
        <v>109</v>
      </c>
      <c r="H241" s="1" t="s">
        <v>71</v>
      </c>
      <c r="I241" s="1" t="s">
        <v>201</v>
      </c>
      <c r="J241" s="1" t="s">
        <v>202</v>
      </c>
      <c r="K241" s="1" t="s">
        <v>93</v>
      </c>
      <c r="L241" s="1" t="s">
        <v>305</v>
      </c>
      <c r="M241" s="1" t="s">
        <v>874</v>
      </c>
      <c r="N241" s="1" t="s">
        <v>64</v>
      </c>
      <c r="O241" s="1">
        <v>2</v>
      </c>
      <c r="P241" s="3">
        <v>1960.06</v>
      </c>
      <c r="Q241" s="4">
        <v>0.2</v>
      </c>
      <c r="R241" s="4">
        <v>0.2</v>
      </c>
      <c r="S241" s="3">
        <v>3136.1</v>
      </c>
      <c r="T241" s="3">
        <v>2279.49</v>
      </c>
      <c r="U241" s="3">
        <v>856.61</v>
      </c>
      <c r="V241" s="1" t="s">
        <v>43</v>
      </c>
      <c r="W241" s="1" t="s">
        <v>44</v>
      </c>
      <c r="X241" s="3">
        <f>IF(OR(O241="",P241="",R241=""),"",O241*P241*(1-R241))</f>
        <v>3136.1</v>
      </c>
      <c r="Y241" s="3">
        <f>IF(OR(X241="",T241=""),"",X241-T241)</f>
        <v>856.61</v>
      </c>
      <c r="Z241" s="4">
        <f>IFERROR(Y241/X241,"")</f>
        <v>0.2731</v>
      </c>
      <c r="AA241" s="1">
        <f>IF(OR(C241="",D241=""),"",D241-C241)</f>
        <v>0</v>
      </c>
      <c r="AB241" s="1">
        <f>IF(C241="","",MONTH(C241))</f>
        <v>9</v>
      </c>
      <c r="AC241" s="1">
        <f>IF(C241="","",YEAR(C241))</f>
        <v>2024</v>
      </c>
      <c r="AD241" s="1" t="s">
        <v>45</v>
      </c>
      <c r="AE241" s="1" t="s">
        <v>46</v>
      </c>
      <c r="AF241" s="1" t="s">
        <v>47</v>
      </c>
    </row>
    <row r="242" spans="1:32" x14ac:dyDescent="0.25">
      <c r="A242" s="1">
        <v>242</v>
      </c>
      <c r="B242" s="1" t="s">
        <v>875</v>
      </c>
      <c r="C242" s="2">
        <v>45642.77083333333</v>
      </c>
      <c r="D242" s="2">
        <v>45648.77083333333</v>
      </c>
      <c r="E242" s="1" t="s">
        <v>876</v>
      </c>
      <c r="F242" s="1" t="s">
        <v>149</v>
      </c>
      <c r="G242" s="1" t="s">
        <v>109</v>
      </c>
      <c r="H242" s="1" t="s">
        <v>71</v>
      </c>
      <c r="I242" s="1" t="s">
        <v>72</v>
      </c>
      <c r="J242" s="1" t="s">
        <v>73</v>
      </c>
      <c r="K242" s="1" t="s">
        <v>39</v>
      </c>
      <c r="L242" s="1" t="s">
        <v>176</v>
      </c>
      <c r="M242" s="1" t="s">
        <v>877</v>
      </c>
      <c r="N242" s="1" t="s">
        <v>64</v>
      </c>
      <c r="O242" s="1">
        <v>9</v>
      </c>
      <c r="P242" s="3">
        <v>2315.1</v>
      </c>
      <c r="Q242" s="4">
        <v>0</v>
      </c>
      <c r="R242" s="4">
        <v>0</v>
      </c>
      <c r="S242" s="3">
        <v>20835.9</v>
      </c>
      <c r="T242" s="3">
        <v>13928.19</v>
      </c>
      <c r="U242" s="3">
        <v>6907.71</v>
      </c>
      <c r="V242" s="1" t="s">
        <v>43</v>
      </c>
      <c r="W242" s="1" t="s">
        <v>44</v>
      </c>
      <c r="X242" s="3">
        <f>IF(OR(O242="",P242="",R242=""),"",O242*P242*(1-R242))</f>
        <v>20835.9</v>
      </c>
      <c r="Y242" s="3">
        <f>IF(OR(X242="",T242=""),"",X242-T242)</f>
        <v>6907.71</v>
      </c>
      <c r="Z242" s="4">
        <f>IFERROR(Y242/X242,"")</f>
        <v>0.3315</v>
      </c>
      <c r="AA242" s="1">
        <f>IF(OR(C242="",D242=""),"",D242-C242)</f>
        <v>6</v>
      </c>
      <c r="AB242" s="1">
        <f>IF(C242="","",MONTH(C242))</f>
        <v>12</v>
      </c>
      <c r="AC242" s="1">
        <f>IF(C242="","",YEAR(C242))</f>
        <v>2024</v>
      </c>
      <c r="AD242" s="1" t="s">
        <v>45</v>
      </c>
      <c r="AE242" s="1" t="s">
        <v>46</v>
      </c>
      <c r="AF242" s="1" t="s">
        <v>47</v>
      </c>
    </row>
    <row r="243" spans="1:32" s="15" customFormat="1" x14ac:dyDescent="0.25">
      <c r="A243" s="16">
        <v>243</v>
      </c>
      <c r="B243" s="16" t="s">
        <v>878</v>
      </c>
      <c r="C243" s="17">
        <v>45843.77083333333</v>
      </c>
      <c r="D243" s="17">
        <v>45843.77083333333</v>
      </c>
      <c r="E243" s="16" t="s">
        <v>879</v>
      </c>
      <c r="F243" s="16" t="s">
        <v>153</v>
      </c>
      <c r="G243" s="16" t="s">
        <v>109</v>
      </c>
      <c r="H243" s="16" t="s">
        <v>36</v>
      </c>
      <c r="I243" s="16" t="s">
        <v>266</v>
      </c>
      <c r="J243" s="16" t="s">
        <v>267</v>
      </c>
      <c r="K243" s="16" t="s">
        <v>39</v>
      </c>
      <c r="L243" s="16" t="s">
        <v>145</v>
      </c>
      <c r="M243" s="16" t="s">
        <v>880</v>
      </c>
      <c r="N243" s="16" t="s">
        <v>76</v>
      </c>
      <c r="O243" s="16">
        <v>1</v>
      </c>
      <c r="P243" s="18">
        <v>1617.2</v>
      </c>
      <c r="Q243" s="19">
        <v>0.25</v>
      </c>
      <c r="R243" s="19">
        <v>0.25</v>
      </c>
      <c r="S243" s="18">
        <v>1212.9</v>
      </c>
      <c r="T243" s="18">
        <v>690.52</v>
      </c>
      <c r="U243" s="18">
        <v>522.38</v>
      </c>
      <c r="V243" s="16" t="s">
        <v>131</v>
      </c>
      <c r="W243" s="16" t="s">
        <v>122</v>
      </c>
      <c r="X243" s="18">
        <f>IF(OR(O243="",P243="",R243=""),"",O243*P243*(1-R243))</f>
        <v>1212.9</v>
      </c>
      <c r="Y243" s="18">
        <f>IF(OR(X243="",T243=""),"",X243-T243)</f>
        <v>522.38</v>
      </c>
      <c r="Z243" s="19">
        <f>IFERROR(Y243/X243,"")</f>
        <v>0.4307</v>
      </c>
      <c r="AA243" s="16">
        <f>IF(OR(C243="",D243=""),"",D243-C243)</f>
        <v>0</v>
      </c>
      <c r="AB243" s="16">
        <f>IF(C243="","",MONTH(C243))</f>
        <v>7</v>
      </c>
      <c r="AC243" s="16">
        <f>IF(C243="","",YEAR(C243))</f>
        <v>2025</v>
      </c>
      <c r="AD243" s="16" t="s">
        <v>86</v>
      </c>
      <c r="AE243" s="16" t="s">
        <v>66</v>
      </c>
      <c r="AF243" s="16" t="s">
        <v>132</v>
      </c>
    </row>
    <row r="244" spans="1:32" x14ac:dyDescent="0.25">
      <c r="A244" s="1">
        <v>244</v>
      </c>
      <c r="B244" s="1" t="s">
        <v>881</v>
      </c>
      <c r="C244" s="2">
        <v>45694.77083333333</v>
      </c>
      <c r="D244" s="2">
        <v>45694.77083333333</v>
      </c>
      <c r="E244" s="1" t="s">
        <v>882</v>
      </c>
      <c r="F244" s="1" t="s">
        <v>70</v>
      </c>
      <c r="G244" s="1" t="s">
        <v>35</v>
      </c>
      <c r="H244" s="1" t="s">
        <v>36</v>
      </c>
      <c r="I244" s="1" t="s">
        <v>157</v>
      </c>
      <c r="J244" s="1" t="s">
        <v>158</v>
      </c>
      <c r="K244" s="1" t="s">
        <v>39</v>
      </c>
      <c r="L244" s="1" t="s">
        <v>62</v>
      </c>
      <c r="M244" s="1" t="s">
        <v>883</v>
      </c>
      <c r="N244" s="1" t="s">
        <v>42</v>
      </c>
      <c r="O244" s="1">
        <v>3</v>
      </c>
      <c r="P244" s="3">
        <v>1999.24</v>
      </c>
      <c r="Q244" s="4">
        <v>0.05</v>
      </c>
      <c r="R244" s="4">
        <v>0.05</v>
      </c>
      <c r="S244" s="3">
        <v>5697.83</v>
      </c>
      <c r="T244" s="3">
        <v>4251.5</v>
      </c>
      <c r="U244" s="3">
        <v>1446.33</v>
      </c>
      <c r="V244" s="1" t="s">
        <v>43</v>
      </c>
      <c r="W244" s="1" t="s">
        <v>44</v>
      </c>
      <c r="X244" s="3">
        <f>IF(OR(O244="",P244="",R244=""),"",O244*P244*(1-R244))</f>
        <v>5697.83</v>
      </c>
      <c r="Y244" s="3">
        <f>IF(OR(X244="",T244=""),"",X244-T244)</f>
        <v>1446.33</v>
      </c>
      <c r="Z244" s="4">
        <f>IFERROR(Y244/X244,"")</f>
        <v>0.2538</v>
      </c>
      <c r="AA244" s="1">
        <f>IF(OR(C244="",D244=""),"",D244-C244)</f>
        <v>0</v>
      </c>
      <c r="AB244" s="1">
        <f>IF(C244="","",MONTH(C244))</f>
        <v>2</v>
      </c>
      <c r="AC244" s="1">
        <f>IF(C244="","",YEAR(C244))</f>
        <v>2025</v>
      </c>
      <c r="AD244" s="1" t="s">
        <v>45</v>
      </c>
      <c r="AE244" s="1" t="s">
        <v>46</v>
      </c>
      <c r="AF244" s="1" t="s">
        <v>47</v>
      </c>
    </row>
    <row r="245" spans="1:32" s="15" customFormat="1" x14ac:dyDescent="0.25">
      <c r="A245" s="16">
        <v>245</v>
      </c>
      <c r="B245" s="16" t="s">
        <v>884</v>
      </c>
      <c r="C245" s="17">
        <v>45866.77083333333</v>
      </c>
      <c r="D245" s="17">
        <v>45870.77083333333</v>
      </c>
      <c r="E245" s="16" t="s">
        <v>885</v>
      </c>
      <c r="F245" s="16" t="s">
        <v>153</v>
      </c>
      <c r="G245" s="16" t="s">
        <v>51</v>
      </c>
      <c r="H245" s="16" t="s">
        <v>232</v>
      </c>
      <c r="I245" s="16" t="s">
        <v>91</v>
      </c>
      <c r="J245" s="16" t="s">
        <v>92</v>
      </c>
      <c r="K245" s="16" t="s">
        <v>93</v>
      </c>
      <c r="L245" s="16" t="s">
        <v>94</v>
      </c>
      <c r="M245" s="16" t="s">
        <v>886</v>
      </c>
      <c r="N245" s="16" t="s">
        <v>64</v>
      </c>
      <c r="O245" s="16">
        <v>1</v>
      </c>
      <c r="P245" s="18">
        <v>4499.46</v>
      </c>
      <c r="Q245" s="19">
        <v>0.1</v>
      </c>
      <c r="R245" s="19">
        <v>0.1</v>
      </c>
      <c r="S245" s="18">
        <v>4049.51</v>
      </c>
      <c r="T245" s="18">
        <v>2509.2</v>
      </c>
      <c r="U245" s="18">
        <v>1540.31</v>
      </c>
      <c r="V245" s="16" t="s">
        <v>43</v>
      </c>
      <c r="W245" s="16" t="s">
        <v>44</v>
      </c>
      <c r="X245" s="18">
        <f>IF(OR(O245="",P245="",R245=""),"",O245*P245*(1-R245))</f>
        <v>4049.51</v>
      </c>
      <c r="Y245" s="18">
        <f>IF(OR(X245="",T245=""),"",X245-T245)</f>
        <v>1540.31</v>
      </c>
      <c r="Z245" s="19">
        <f>IFERROR(Y245/X245,"")</f>
        <v>0.3804</v>
      </c>
      <c r="AA245" s="16">
        <f>IF(OR(C245="",D245=""),"",D245-C245)</f>
        <v>4</v>
      </c>
      <c r="AB245" s="16">
        <f>IF(C245="","",MONTH(C245))</f>
        <v>7</v>
      </c>
      <c r="AC245" s="16">
        <f>IF(C245="","",YEAR(C245))</f>
        <v>2025</v>
      </c>
      <c r="AD245" s="16" t="s">
        <v>86</v>
      </c>
      <c r="AE245" s="16" t="s">
        <v>46</v>
      </c>
      <c r="AF245" s="16" t="s">
        <v>487</v>
      </c>
    </row>
    <row r="246" spans="1:32" x14ac:dyDescent="0.25">
      <c r="A246" s="1">
        <v>246</v>
      </c>
      <c r="B246" s="1" t="s">
        <v>887</v>
      </c>
      <c r="C246" s="2">
        <v>45526.77083333333</v>
      </c>
      <c r="D246" s="2">
        <v>45527.77083333333</v>
      </c>
      <c r="E246" s="1" t="s">
        <v>888</v>
      </c>
      <c r="F246" s="1" t="s">
        <v>98</v>
      </c>
      <c r="G246" s="1" t="s">
        <v>35</v>
      </c>
      <c r="H246" s="1" t="s">
        <v>71</v>
      </c>
      <c r="I246" s="1" t="s">
        <v>72</v>
      </c>
      <c r="J246" s="1" t="s">
        <v>73</v>
      </c>
      <c r="K246" s="1" t="s">
        <v>55</v>
      </c>
      <c r="L246" s="1" t="s">
        <v>182</v>
      </c>
      <c r="M246" s="1" t="s">
        <v>889</v>
      </c>
      <c r="N246" s="1" t="s">
        <v>58</v>
      </c>
      <c r="O246" s="1">
        <v>6</v>
      </c>
      <c r="P246" s="3">
        <v>1021.89</v>
      </c>
      <c r="Q246" s="4">
        <v>0</v>
      </c>
      <c r="R246" s="4">
        <v>0</v>
      </c>
      <c r="S246" s="3">
        <v>6131.34</v>
      </c>
      <c r="T246" s="3">
        <v>4060.88</v>
      </c>
      <c r="U246" s="3">
        <v>2070.46</v>
      </c>
      <c r="V246" s="1" t="s">
        <v>43</v>
      </c>
      <c r="W246" s="1" t="s">
        <v>44</v>
      </c>
      <c r="X246" s="3">
        <f>IF(OR(O246="",P246="",R246=""),"",O246*P246*(1-R246))</f>
        <v>6131.34</v>
      </c>
      <c r="Y246" s="3">
        <f>IF(OR(X246="",T246=""),"",X246-T246)</f>
        <v>2070.46</v>
      </c>
      <c r="Z246" s="4">
        <f>IFERROR(Y246/X246,"")</f>
        <v>0.3377</v>
      </c>
      <c r="AA246" s="1">
        <f>IF(OR(C246="",D246=""),"",D246-C246)</f>
        <v>1</v>
      </c>
      <c r="AB246" s="1">
        <f>IF(C246="","",MONTH(C246))</f>
        <v>8</v>
      </c>
      <c r="AC246" s="1">
        <f>IF(C246="","",YEAR(C246))</f>
        <v>2024</v>
      </c>
      <c r="AD246" s="1" t="s">
        <v>45</v>
      </c>
      <c r="AE246" s="1" t="s">
        <v>46</v>
      </c>
      <c r="AF246" s="1" t="s">
        <v>47</v>
      </c>
    </row>
    <row r="247" spans="1:32" x14ac:dyDescent="0.25">
      <c r="A247" s="1">
        <v>247</v>
      </c>
      <c r="B247" s="1" t="s">
        <v>890</v>
      </c>
      <c r="C247" s="2">
        <v>45582.77083333333</v>
      </c>
      <c r="D247" s="2">
        <v>45588.77083333333</v>
      </c>
      <c r="E247" s="1" t="s">
        <v>891</v>
      </c>
      <c r="F247" s="1" t="s">
        <v>98</v>
      </c>
      <c r="G247" s="1" t="s">
        <v>114</v>
      </c>
      <c r="H247" s="1" t="s">
        <v>71</v>
      </c>
      <c r="I247" s="1" t="s">
        <v>211</v>
      </c>
      <c r="J247" s="1" t="s">
        <v>212</v>
      </c>
      <c r="K247" s="1" t="s">
        <v>55</v>
      </c>
      <c r="L247" s="1" t="s">
        <v>83</v>
      </c>
      <c r="M247" s="1" t="s">
        <v>892</v>
      </c>
      <c r="N247" s="1" t="s">
        <v>42</v>
      </c>
      <c r="O247" s="1">
        <v>3</v>
      </c>
      <c r="P247" s="3">
        <v>3275.93</v>
      </c>
      <c r="Q247" s="4">
        <v>0</v>
      </c>
      <c r="R247" s="4">
        <v>0</v>
      </c>
      <c r="S247" s="3">
        <v>9827.79</v>
      </c>
      <c r="T247" s="3">
        <v>5478.28</v>
      </c>
      <c r="U247" s="3">
        <v>4349.51</v>
      </c>
      <c r="V247" s="1" t="s">
        <v>43</v>
      </c>
      <c r="W247" s="1" t="s">
        <v>44</v>
      </c>
      <c r="X247" s="3">
        <f>IF(OR(O247="",P247="",R247=""),"",O247*P247*(1-R247))</f>
        <v>9827.79</v>
      </c>
      <c r="Y247" s="3">
        <f>IF(OR(X247="",T247=""),"",X247-T247)</f>
        <v>4349.51</v>
      </c>
      <c r="Z247" s="4">
        <f>IFERROR(Y247/X247,"")</f>
        <v>0.4426</v>
      </c>
      <c r="AA247" s="1">
        <f>IF(OR(C247="",D247=""),"",D247-C247)</f>
        <v>6</v>
      </c>
      <c r="AB247" s="1">
        <f>IF(C247="","",MONTH(C247))</f>
        <v>10</v>
      </c>
      <c r="AC247" s="1">
        <f>IF(C247="","",YEAR(C247))</f>
        <v>2024</v>
      </c>
      <c r="AD247" s="1" t="s">
        <v>45</v>
      </c>
      <c r="AE247" s="1" t="s">
        <v>46</v>
      </c>
      <c r="AF247" s="1" t="s">
        <v>47</v>
      </c>
    </row>
    <row r="248" spans="1:32" s="15" customFormat="1" x14ac:dyDescent="0.25">
      <c r="A248" s="16">
        <v>248</v>
      </c>
      <c r="B248" s="16" t="s">
        <v>893</v>
      </c>
      <c r="C248" s="17">
        <v>45415.77083333333</v>
      </c>
      <c r="D248" s="17">
        <v>45420.77083333333</v>
      </c>
      <c r="E248" s="16" t="s">
        <v>894</v>
      </c>
      <c r="F248" s="16" t="s">
        <v>79</v>
      </c>
      <c r="G248" s="16" t="s">
        <v>109</v>
      </c>
      <c r="H248" s="16" t="s">
        <v>36</v>
      </c>
      <c r="I248" s="16" t="s">
        <v>143</v>
      </c>
      <c r="J248" s="16" t="s">
        <v>144</v>
      </c>
      <c r="K248" s="16" t="s">
        <v>93</v>
      </c>
      <c r="L248" s="16" t="s">
        <v>305</v>
      </c>
      <c r="M248" s="16" t="s">
        <v>895</v>
      </c>
      <c r="N248" s="16" t="s">
        <v>58</v>
      </c>
      <c r="O248" s="16">
        <v>3</v>
      </c>
      <c r="P248" s="18">
        <v>231.95</v>
      </c>
      <c r="Q248" s="19">
        <v>0.25</v>
      </c>
      <c r="R248" s="19">
        <v>0.25</v>
      </c>
      <c r="S248" s="18">
        <v>521.89</v>
      </c>
      <c r="T248" s="18">
        <v>444.52</v>
      </c>
      <c r="U248" s="18">
        <v>77.37</v>
      </c>
      <c r="V248" s="16" t="s">
        <v>121</v>
      </c>
      <c r="W248" s="16" t="s">
        <v>85</v>
      </c>
      <c r="X248" s="18">
        <f>IF(OR(O248="",P248="",R248=""),"",O248*P248*(1-R248))</f>
        <v>521.89</v>
      </c>
      <c r="Y248" s="18">
        <f>IF(OR(X248="",T248=""),"",X248-T248)</f>
        <v>77.37</v>
      </c>
      <c r="Z248" s="19">
        <f>IFERROR(Y248/X248,"")</f>
        <v>0.1482</v>
      </c>
      <c r="AA248" s="16">
        <f>IF(OR(C248="",D248=""),"",D248-C248)</f>
        <v>5</v>
      </c>
      <c r="AB248" s="16">
        <f>IF(C248="","",MONTH(C248))</f>
        <v>5</v>
      </c>
      <c r="AC248" s="16">
        <f>IF(C248="","",YEAR(C248))</f>
        <v>2024</v>
      </c>
      <c r="AD248" s="16" t="s">
        <v>86</v>
      </c>
      <c r="AE248" s="16" t="s">
        <v>66</v>
      </c>
      <c r="AF248" s="16" t="s">
        <v>160</v>
      </c>
    </row>
    <row r="249" spans="1:32" x14ac:dyDescent="0.25">
      <c r="A249" s="1">
        <v>249</v>
      </c>
      <c r="B249" s="1" t="s">
        <v>896</v>
      </c>
      <c r="C249" s="2">
        <v>45497.77083333333</v>
      </c>
      <c r="D249" s="2">
        <v>45504.77083333333</v>
      </c>
      <c r="E249" s="1" t="s">
        <v>897</v>
      </c>
      <c r="F249" s="1" t="s">
        <v>139</v>
      </c>
      <c r="G249" s="1" t="s">
        <v>109</v>
      </c>
      <c r="H249" s="1" t="s">
        <v>36</v>
      </c>
      <c r="I249" s="1" t="s">
        <v>37</v>
      </c>
      <c r="J249" s="1" t="s">
        <v>38</v>
      </c>
      <c r="K249" s="1" t="s">
        <v>93</v>
      </c>
      <c r="L249" s="1" t="s">
        <v>94</v>
      </c>
      <c r="M249" s="1" t="s">
        <v>898</v>
      </c>
      <c r="N249" s="1" t="s">
        <v>42</v>
      </c>
      <c r="O249" s="1">
        <v>8</v>
      </c>
      <c r="P249" s="3">
        <v>2493.4</v>
      </c>
      <c r="Q249" s="4">
        <v>0.25</v>
      </c>
      <c r="R249" s="4">
        <v>0.25</v>
      </c>
      <c r="S249" s="3">
        <v>14960.4</v>
      </c>
      <c r="T249" s="3">
        <v>12500.84</v>
      </c>
      <c r="U249" s="3">
        <v>2459.56</v>
      </c>
      <c r="V249" s="1" t="s">
        <v>43</v>
      </c>
      <c r="W249" s="1" t="s">
        <v>44</v>
      </c>
      <c r="X249" s="3">
        <f>IF(OR(O249="",P249="",R249=""),"",O249*P249*(1-R249))</f>
        <v>14960.4</v>
      </c>
      <c r="Y249" s="3">
        <f>IF(OR(X249="",T249=""),"",X249-T249)</f>
        <v>2459.56</v>
      </c>
      <c r="Z249" s="4">
        <f>IFERROR(Y249/X249,"")</f>
        <v>0.1644</v>
      </c>
      <c r="AA249" s="1">
        <f>IF(OR(C249="",D249=""),"",D249-C249)</f>
        <v>7</v>
      </c>
      <c r="AB249" s="1">
        <f>IF(C249="","",MONTH(C249))</f>
        <v>7</v>
      </c>
      <c r="AC249" s="1">
        <f>IF(C249="","",YEAR(C249))</f>
        <v>2024</v>
      </c>
      <c r="AD249" s="1" t="s">
        <v>45</v>
      </c>
      <c r="AE249" s="1" t="s">
        <v>46</v>
      </c>
      <c r="AF249" s="1" t="s">
        <v>47</v>
      </c>
    </row>
    <row r="250" spans="1:32" x14ac:dyDescent="0.25">
      <c r="A250" s="1">
        <v>250</v>
      </c>
      <c r="B250" s="1" t="s">
        <v>899</v>
      </c>
      <c r="C250" s="2">
        <v>45444.77083333333</v>
      </c>
      <c r="D250" s="2">
        <v>45449.77083333333</v>
      </c>
      <c r="E250" s="1" t="s">
        <v>900</v>
      </c>
      <c r="F250" s="1" t="s">
        <v>163</v>
      </c>
      <c r="G250" s="1" t="s">
        <v>114</v>
      </c>
      <c r="H250" s="1" t="s">
        <v>52</v>
      </c>
      <c r="I250" s="1" t="s">
        <v>53</v>
      </c>
      <c r="J250" s="1" t="s">
        <v>54</v>
      </c>
      <c r="K250" s="1" t="s">
        <v>39</v>
      </c>
      <c r="L250" s="1" t="s">
        <v>110</v>
      </c>
      <c r="M250" s="1" t="s">
        <v>901</v>
      </c>
      <c r="N250" s="1" t="s">
        <v>42</v>
      </c>
      <c r="O250" s="1">
        <v>9</v>
      </c>
      <c r="P250" s="3">
        <v>787.91</v>
      </c>
      <c r="Q250" s="4">
        <v>0.15</v>
      </c>
      <c r="R250" s="4">
        <v>0.15</v>
      </c>
      <c r="S250" s="3">
        <v>6027.51</v>
      </c>
      <c r="T250" s="3">
        <v>4883.82</v>
      </c>
      <c r="U250" s="3">
        <v>1143.69</v>
      </c>
      <c r="V250" s="1" t="s">
        <v>43</v>
      </c>
      <c r="W250" s="1" t="s">
        <v>44</v>
      </c>
      <c r="X250" s="3">
        <f>IF(OR(O250="",P250="",R250=""),"",O250*P250*(1-R250))</f>
        <v>6027.51</v>
      </c>
      <c r="Y250" s="3">
        <f>IF(OR(X250="",T250=""),"",X250-T250)</f>
        <v>1143.69</v>
      </c>
      <c r="Z250" s="4">
        <f>IFERROR(Y250/X250,"")</f>
        <v>0.1897</v>
      </c>
      <c r="AA250" s="1">
        <f>IF(OR(C250="",D250=""),"",D250-C250)</f>
        <v>5</v>
      </c>
      <c r="AB250" s="1">
        <f>IF(C250="","",MONTH(C250))</f>
        <v>6</v>
      </c>
      <c r="AC250" s="1">
        <f>IF(C250="","",YEAR(C250))</f>
        <v>2024</v>
      </c>
      <c r="AD250" s="1" t="s">
        <v>45</v>
      </c>
      <c r="AE250" s="1" t="s">
        <v>46</v>
      </c>
      <c r="AF250" s="1" t="s">
        <v>47</v>
      </c>
    </row>
    <row r="251" spans="1:32" x14ac:dyDescent="0.25">
      <c r="A251" s="1">
        <v>251</v>
      </c>
      <c r="B251" s="1" t="s">
        <v>902</v>
      </c>
      <c r="C251" s="2">
        <v>45869.77083333333</v>
      </c>
      <c r="D251" s="2">
        <v>45870.77083333333</v>
      </c>
      <c r="E251" s="1" t="s">
        <v>903</v>
      </c>
      <c r="F251" s="1" t="s">
        <v>50</v>
      </c>
      <c r="G251" s="1" t="s">
        <v>109</v>
      </c>
      <c r="H251" s="1" t="s">
        <v>36</v>
      </c>
      <c r="I251" s="1" t="s">
        <v>37</v>
      </c>
      <c r="J251" s="1" t="s">
        <v>38</v>
      </c>
      <c r="K251" s="1" t="s">
        <v>55</v>
      </c>
      <c r="L251" s="1" t="s">
        <v>74</v>
      </c>
      <c r="M251" s="1" t="s">
        <v>904</v>
      </c>
      <c r="N251" s="1" t="s">
        <v>64</v>
      </c>
      <c r="O251" s="1">
        <v>4</v>
      </c>
      <c r="P251" s="3">
        <v>2790.29</v>
      </c>
      <c r="Q251" s="4">
        <v>0.2</v>
      </c>
      <c r="R251" s="4">
        <v>0.2</v>
      </c>
      <c r="S251" s="3">
        <v>8928.93</v>
      </c>
      <c r="T251" s="3">
        <v>5634.38</v>
      </c>
      <c r="U251" s="3">
        <v>3294.55</v>
      </c>
      <c r="V251" s="1" t="s">
        <v>43</v>
      </c>
      <c r="W251" s="1" t="s">
        <v>44</v>
      </c>
      <c r="X251" s="3">
        <f>IF(OR(O251="",P251="",R251=""),"",O251*P251*(1-R251))</f>
        <v>8928.93</v>
      </c>
      <c r="Y251" s="3">
        <f>IF(OR(X251="",T251=""),"",X251-T251)</f>
        <v>3294.55</v>
      </c>
      <c r="Z251" s="4">
        <f>IFERROR(Y251/X251,"")</f>
        <v>0.369</v>
      </c>
      <c r="AA251" s="1">
        <f>IF(OR(C251="",D251=""),"",D251-C251)</f>
        <v>1</v>
      </c>
      <c r="AB251" s="1">
        <f>IF(C251="","",MONTH(C251))</f>
        <v>8</v>
      </c>
      <c r="AC251" s="1">
        <f>IF(C251="","",YEAR(C251))</f>
        <v>2025</v>
      </c>
      <c r="AD251" s="1" t="s">
        <v>45</v>
      </c>
      <c r="AE251" s="1" t="s">
        <v>46</v>
      </c>
      <c r="AF251" s="1" t="s">
        <v>47</v>
      </c>
    </row>
    <row r="252" spans="1:32" s="15" customFormat="1" x14ac:dyDescent="0.25">
      <c r="A252" s="16">
        <v>252</v>
      </c>
      <c r="B252" s="16" t="s">
        <v>905</v>
      </c>
      <c r="C252" s="17">
        <v>45342.77083333333</v>
      </c>
      <c r="D252" s="17">
        <v>45348.77083333333</v>
      </c>
      <c r="E252" s="16" t="s">
        <v>906</v>
      </c>
      <c r="F252" s="16" t="s">
        <v>70</v>
      </c>
      <c r="G252" s="16" t="s">
        <v>51</v>
      </c>
      <c r="H252" s="16" t="s">
        <v>52</v>
      </c>
      <c r="I252" s="16" t="s">
        <v>118</v>
      </c>
      <c r="J252" s="16" t="s">
        <v>119</v>
      </c>
      <c r="K252" s="16" t="s">
        <v>55</v>
      </c>
      <c r="L252" s="16" t="s">
        <v>74</v>
      </c>
      <c r="M252" s="16" t="s">
        <v>907</v>
      </c>
      <c r="N252" s="16" t="s">
        <v>76</v>
      </c>
      <c r="O252" s="16">
        <v>5</v>
      </c>
      <c r="P252" s="18">
        <v>3373.86</v>
      </c>
      <c r="Q252" s="19">
        <v>0.15</v>
      </c>
      <c r="R252" s="19">
        <v>0.15</v>
      </c>
      <c r="S252" s="18">
        <v>14338.9</v>
      </c>
      <c r="T252" s="18">
        <v>11897.65</v>
      </c>
      <c r="U252" s="18">
        <v>2441.25</v>
      </c>
      <c r="V252" s="16" t="s">
        <v>131</v>
      </c>
      <c r="W252" s="16" t="s">
        <v>122</v>
      </c>
      <c r="X252" s="18">
        <f>IF(OR(O252="",P252="",R252=""),"",O252*P252*(1-R252))</f>
        <v>14338.91</v>
      </c>
      <c r="Y252" s="18">
        <f>IF(OR(X252="",T252=""),"",X252-T252)</f>
        <v>2441.26</v>
      </c>
      <c r="Z252" s="19">
        <f>IFERROR(Y252/X252,"")</f>
        <v>0.1703</v>
      </c>
      <c r="AA252" s="16">
        <f>IF(OR(C252="",D252=""),"",D252-C252)</f>
        <v>6</v>
      </c>
      <c r="AB252" s="16">
        <f>IF(C252="","",MONTH(C252))</f>
        <v>2</v>
      </c>
      <c r="AC252" s="16">
        <f>IF(C252="","",YEAR(C252))</f>
        <v>2024</v>
      </c>
      <c r="AD252" s="16" t="s">
        <v>86</v>
      </c>
      <c r="AE252" s="16" t="s">
        <v>66</v>
      </c>
      <c r="AF252" s="16" t="s">
        <v>132</v>
      </c>
    </row>
    <row r="253" spans="1:32" x14ac:dyDescent="0.25">
      <c r="A253" s="1">
        <v>253</v>
      </c>
      <c r="B253" s="1" t="s">
        <v>908</v>
      </c>
      <c r="C253" s="2">
        <v>45752.77083333333</v>
      </c>
      <c r="D253" s="2">
        <v>45756.77083333333</v>
      </c>
      <c r="E253" s="1" t="s">
        <v>909</v>
      </c>
      <c r="F253" s="1" t="s">
        <v>79</v>
      </c>
      <c r="G253" s="1" t="s">
        <v>109</v>
      </c>
      <c r="H253" s="1" t="s">
        <v>80</v>
      </c>
      <c r="I253" s="1" t="s">
        <v>206</v>
      </c>
      <c r="J253" s="1" t="s">
        <v>207</v>
      </c>
      <c r="K253" s="1" t="s">
        <v>55</v>
      </c>
      <c r="L253" s="1" t="s">
        <v>56</v>
      </c>
      <c r="M253" s="1" t="s">
        <v>910</v>
      </c>
      <c r="N253" s="1" t="s">
        <v>42</v>
      </c>
      <c r="O253" s="1">
        <v>6</v>
      </c>
      <c r="P253" s="3">
        <v>1022.16</v>
      </c>
      <c r="Q253" s="4">
        <v>0</v>
      </c>
      <c r="R253" s="4">
        <v>0</v>
      </c>
      <c r="S253" s="3">
        <v>6132.96</v>
      </c>
      <c r="T253" s="3">
        <v>4881.1</v>
      </c>
      <c r="U253" s="3">
        <v>1251.86</v>
      </c>
      <c r="V253" s="1" t="s">
        <v>43</v>
      </c>
      <c r="W253" s="1" t="s">
        <v>44</v>
      </c>
      <c r="X253" s="3">
        <f>IF(OR(O253="",P253="",R253=""),"",O253*P253*(1-R253))</f>
        <v>6132.96</v>
      </c>
      <c r="Y253" s="3">
        <f>IF(OR(X253="",T253=""),"",X253-T253)</f>
        <v>1251.86</v>
      </c>
      <c r="Z253" s="4">
        <f>IFERROR(Y253/X253,"")</f>
        <v>0.2041</v>
      </c>
      <c r="AA253" s="1">
        <f>IF(OR(C253="",D253=""),"",D253-C253)</f>
        <v>4</v>
      </c>
      <c r="AB253" s="1">
        <f>IF(C253="","",MONTH(C253))</f>
        <v>4</v>
      </c>
      <c r="AC253" s="1">
        <f>IF(C253="","",YEAR(C253))</f>
        <v>2025</v>
      </c>
      <c r="AD253" s="1" t="s">
        <v>45</v>
      </c>
      <c r="AE253" s="1" t="s">
        <v>46</v>
      </c>
      <c r="AF253" s="1" t="s">
        <v>47</v>
      </c>
    </row>
    <row r="254" spans="1:32" s="15" customFormat="1" x14ac:dyDescent="0.25">
      <c r="A254" s="16">
        <v>254</v>
      </c>
      <c r="B254" s="16" t="s">
        <v>911</v>
      </c>
      <c r="C254" s="17">
        <v>45832.77083333333</v>
      </c>
      <c r="D254" s="17">
        <v>45835.77083333333</v>
      </c>
      <c r="E254" s="16" t="s">
        <v>912</v>
      </c>
      <c r="F254" s="16" t="s">
        <v>70</v>
      </c>
      <c r="G254" s="16" t="s">
        <v>109</v>
      </c>
      <c r="H254" s="16" t="s">
        <v>36</v>
      </c>
      <c r="I254" s="16" t="s">
        <v>266</v>
      </c>
      <c r="J254" s="16" t="s">
        <v>267</v>
      </c>
      <c r="K254" s="16" t="s">
        <v>39</v>
      </c>
      <c r="L254" s="16" t="s">
        <v>145</v>
      </c>
      <c r="M254" s="16" t="s">
        <v>913</v>
      </c>
      <c r="N254" s="16" t="s">
        <v>64</v>
      </c>
      <c r="O254" s="16">
        <v>2</v>
      </c>
      <c r="P254" s="18">
        <v>1455.92</v>
      </c>
      <c r="Q254" s="19">
        <v>0.2</v>
      </c>
      <c r="R254" s="19">
        <v>0.2</v>
      </c>
      <c r="S254" s="18">
        <v>2329.47</v>
      </c>
      <c r="T254" s="18">
        <v>1603.62</v>
      </c>
      <c r="U254" s="18">
        <v>725.85</v>
      </c>
      <c r="V254" s="16" t="s">
        <v>131</v>
      </c>
      <c r="W254" s="16" t="s">
        <v>122</v>
      </c>
      <c r="X254" s="18">
        <f>IF(OR(O254="",P254="",R254=""),"",O254*P254*(1-R254))</f>
        <v>2329.47</v>
      </c>
      <c r="Y254" s="18">
        <f>IF(OR(X254="",T254=""),"",X254-T254)</f>
        <v>725.85</v>
      </c>
      <c r="Z254" s="19">
        <f>IFERROR(Y254/X254,"")</f>
        <v>0.3116</v>
      </c>
      <c r="AA254" s="16">
        <f>IF(OR(C254="",D254=""),"",D254-C254)</f>
        <v>3</v>
      </c>
      <c r="AB254" s="16">
        <f>IF(C254="","",MONTH(C254))</f>
        <v>6</v>
      </c>
      <c r="AC254" s="16">
        <f>IF(C254="","",YEAR(C254))</f>
        <v>2025</v>
      </c>
      <c r="AD254" s="16" t="s">
        <v>86</v>
      </c>
      <c r="AE254" s="16" t="s">
        <v>66</v>
      </c>
      <c r="AF254" s="16" t="s">
        <v>132</v>
      </c>
    </row>
    <row r="255" spans="1:32" s="10" customFormat="1" x14ac:dyDescent="0.25">
      <c r="A255" s="11">
        <v>255</v>
      </c>
      <c r="B255" s="11" t="s">
        <v>914</v>
      </c>
      <c r="C255" s="12">
        <v>45546.77083333333</v>
      </c>
      <c r="D255" s="12">
        <v>45547.77083333333</v>
      </c>
      <c r="E255" s="11" t="s">
        <v>915</v>
      </c>
      <c r="F255" s="11" t="s">
        <v>135</v>
      </c>
      <c r="G255" s="11" t="s">
        <v>51</v>
      </c>
      <c r="H255" s="11" t="s">
        <v>36</v>
      </c>
      <c r="I255" s="11" t="s">
        <v>37</v>
      </c>
      <c r="J255" s="11" t="s">
        <v>38</v>
      </c>
      <c r="K255" s="11" t="s">
        <v>93</v>
      </c>
      <c r="L255" s="11" t="s">
        <v>196</v>
      </c>
      <c r="M255" s="11" t="s">
        <v>916</v>
      </c>
      <c r="N255" s="11" t="s">
        <v>58</v>
      </c>
      <c r="O255" s="11">
        <v>6</v>
      </c>
      <c r="P255" s="13">
        <v>832.79</v>
      </c>
      <c r="Q255" s="14">
        <v>0.05</v>
      </c>
      <c r="R255" s="14">
        <v>0.05</v>
      </c>
      <c r="S255" s="13">
        <v>4746.9</v>
      </c>
      <c r="T255" s="13">
        <v>2825.38</v>
      </c>
      <c r="U255" s="13">
        <v>1472.89</v>
      </c>
      <c r="V255" s="11" t="s">
        <v>121</v>
      </c>
      <c r="W255" s="11" t="s">
        <v>85</v>
      </c>
      <c r="X255" s="13">
        <f>IF(OR(O255="",P255="",R255=""),"",O255*P255*(1-R255))</f>
        <v>4746.9</v>
      </c>
      <c r="Y255" s="13">
        <f>IF(OR(X255="",T255=""),"",X255-T255)</f>
        <v>1921.52</v>
      </c>
      <c r="Z255" s="14">
        <f>IFERROR(Y255/X255,"")</f>
        <v>0.4048</v>
      </c>
      <c r="AA255" s="11">
        <f>IF(OR(C255="",D255=""),"",D255-C255)</f>
        <v>1</v>
      </c>
      <c r="AB255" s="11">
        <f>IF(C255="","",MONTH(C255))</f>
        <v>9</v>
      </c>
      <c r="AC255" s="11">
        <f>IF(C255="","",YEAR(C255))</f>
        <v>2024</v>
      </c>
      <c r="AD255" s="11" t="s">
        <v>65</v>
      </c>
      <c r="AE255" s="11" t="s">
        <v>66</v>
      </c>
      <c r="AF255" s="11" t="s">
        <v>917</v>
      </c>
    </row>
    <row r="256" spans="1:32" s="15" customFormat="1" x14ac:dyDescent="0.25">
      <c r="A256" s="16">
        <v>256</v>
      </c>
      <c r="B256" s="16" t="s">
        <v>918</v>
      </c>
      <c r="C256" s="17">
        <v>45657.77083333333</v>
      </c>
      <c r="D256" s="17">
        <v>45659.77083333333</v>
      </c>
      <c r="E256" s="16" t="s">
        <v>919</v>
      </c>
      <c r="F256" s="16" t="s">
        <v>79</v>
      </c>
      <c r="G256" s="16" t="s">
        <v>35</v>
      </c>
      <c r="H256" s="16" t="s">
        <v>80</v>
      </c>
      <c r="I256" s="16" t="s">
        <v>91</v>
      </c>
      <c r="J256" s="16" t="s">
        <v>92</v>
      </c>
      <c r="K256" s="16" t="s">
        <v>93</v>
      </c>
      <c r="L256" s="16" t="s">
        <v>94</v>
      </c>
      <c r="M256" s="16" t="s">
        <v>920</v>
      </c>
      <c r="N256" s="16" t="s">
        <v>58</v>
      </c>
      <c r="O256" s="16">
        <v>7</v>
      </c>
      <c r="P256" s="18">
        <v>1000.55</v>
      </c>
      <c r="Q256" s="19">
        <v>0.2</v>
      </c>
      <c r="R256" s="19">
        <v>0.2</v>
      </c>
      <c r="S256" s="18">
        <v>5603.08</v>
      </c>
      <c r="T256" s="18">
        <v>3132.52</v>
      </c>
      <c r="U256" s="18">
        <v>2470.56</v>
      </c>
      <c r="V256" s="16" t="s">
        <v>43</v>
      </c>
      <c r="W256" s="16" t="s">
        <v>122</v>
      </c>
      <c r="X256" s="18">
        <f>IF(OR(O256="",P256="",R256=""),"",O256*P256*(1-R256))</f>
        <v>5603.08</v>
      </c>
      <c r="Y256" s="18">
        <f>IF(OR(X256="",T256=""),"",X256-T256)</f>
        <v>2470.56</v>
      </c>
      <c r="Z256" s="19">
        <f>IFERROR(Y256/X256,"")</f>
        <v>0.4409</v>
      </c>
      <c r="AA256" s="16">
        <f>IF(OR(C256="",D256=""),"",D256-C256)</f>
        <v>2</v>
      </c>
      <c r="AB256" s="16">
        <f>IF(C256="","",MONTH(C256))</f>
        <v>1</v>
      </c>
      <c r="AC256" s="16">
        <f>IF(C256="","",YEAR(C256))</f>
        <v>2025</v>
      </c>
      <c r="AD256" s="16" t="s">
        <v>86</v>
      </c>
      <c r="AE256" s="16" t="s">
        <v>66</v>
      </c>
      <c r="AF256" s="16" t="s">
        <v>198</v>
      </c>
    </row>
    <row r="257" spans="1:32" x14ac:dyDescent="0.25">
      <c r="A257" s="1">
        <v>257</v>
      </c>
      <c r="B257" s="1" t="s">
        <v>921</v>
      </c>
      <c r="C257" s="2">
        <v>45691.77083333333</v>
      </c>
      <c r="D257" s="2">
        <v>45697.77083333333</v>
      </c>
      <c r="E257" s="1" t="s">
        <v>922</v>
      </c>
      <c r="F257" s="1" t="s">
        <v>61</v>
      </c>
      <c r="G257" s="1" t="s">
        <v>109</v>
      </c>
      <c r="H257" s="1" t="s">
        <v>80</v>
      </c>
      <c r="I257" s="1" t="s">
        <v>81</v>
      </c>
      <c r="J257" s="1" t="s">
        <v>82</v>
      </c>
      <c r="K257" s="1" t="s">
        <v>93</v>
      </c>
      <c r="L257" s="1" t="s">
        <v>196</v>
      </c>
      <c r="M257" s="1" t="s">
        <v>923</v>
      </c>
      <c r="N257" s="1" t="s">
        <v>64</v>
      </c>
      <c r="O257" s="1">
        <v>7</v>
      </c>
      <c r="P257" s="3">
        <v>1830</v>
      </c>
      <c r="Q257" s="4">
        <v>0</v>
      </c>
      <c r="R257" s="4">
        <v>0</v>
      </c>
      <c r="S257" s="3">
        <v>12810</v>
      </c>
      <c r="T257" s="3">
        <v>9334.12</v>
      </c>
      <c r="U257" s="3">
        <v>3475.88</v>
      </c>
      <c r="V257" s="1" t="s">
        <v>43</v>
      </c>
      <c r="W257" s="1" t="s">
        <v>44</v>
      </c>
      <c r="X257" s="3">
        <f>IF(OR(O257="",P257="",R257=""),"",O257*P257*(1-R257))</f>
        <v>12810</v>
      </c>
      <c r="Y257" s="3">
        <f>IF(OR(X257="",T257=""),"",X257-T257)</f>
        <v>3475.88</v>
      </c>
      <c r="Z257" s="4">
        <f>IFERROR(Y257/X257,"")</f>
        <v>0.2713</v>
      </c>
      <c r="AA257" s="1">
        <f>IF(OR(C257="",D257=""),"",D257-C257)</f>
        <v>6</v>
      </c>
      <c r="AB257" s="1">
        <f>IF(C257="","",MONTH(C257))</f>
        <v>2</v>
      </c>
      <c r="AC257" s="1">
        <f>IF(C257="","",YEAR(C257))</f>
        <v>2025</v>
      </c>
      <c r="AD257" s="1" t="s">
        <v>45</v>
      </c>
      <c r="AE257" s="1" t="s">
        <v>46</v>
      </c>
      <c r="AF257" s="1" t="s">
        <v>47</v>
      </c>
    </row>
    <row r="258" spans="1:32" s="10" customFormat="1" x14ac:dyDescent="0.25">
      <c r="A258" s="11">
        <v>258</v>
      </c>
      <c r="B258" s="11" t="s">
        <v>924</v>
      </c>
      <c r="C258" s="12">
        <v>45600.77083333333</v>
      </c>
      <c r="D258" s="12">
        <v>45598.77083333333</v>
      </c>
      <c r="E258" s="11" t="s">
        <v>925</v>
      </c>
      <c r="F258" s="11" t="s">
        <v>79</v>
      </c>
      <c r="G258" s="11" t="s">
        <v>35</v>
      </c>
      <c r="H258" s="11" t="s">
        <v>52</v>
      </c>
      <c r="I258" s="11" t="s">
        <v>118</v>
      </c>
      <c r="J258" s="11" t="s">
        <v>119</v>
      </c>
      <c r="K258" s="11" t="s">
        <v>55</v>
      </c>
      <c r="L258" s="11" t="s">
        <v>56</v>
      </c>
      <c r="M258" s="11" t="s">
        <v>926</v>
      </c>
      <c r="N258" s="11" t="s">
        <v>64</v>
      </c>
      <c r="O258" s="11">
        <v>9</v>
      </c>
      <c r="P258" s="13">
        <v>2260.61</v>
      </c>
      <c r="Q258" s="14">
        <v>0.05</v>
      </c>
      <c r="R258" s="14">
        <v>0.05</v>
      </c>
      <c r="S258" s="13">
        <v>19328.22</v>
      </c>
      <c r="T258" s="13">
        <v>12039.5</v>
      </c>
      <c r="U258" s="13">
        <v>7288.72</v>
      </c>
      <c r="V258" s="11" t="s">
        <v>43</v>
      </c>
      <c r="W258" s="11" t="s">
        <v>44</v>
      </c>
      <c r="X258" s="13">
        <f>IF(OR(O258="",P258="",R258=""),"",O258*P258*(1-R258))</f>
        <v>19328.22</v>
      </c>
      <c r="Y258" s="13">
        <f>IF(OR(X258="",T258=""),"",X258-T258)</f>
        <v>7288.72</v>
      </c>
      <c r="Z258" s="14">
        <f>IFERROR(Y258/X258,"")</f>
        <v>0.3771</v>
      </c>
      <c r="AA258" s="11">
        <f>IF(OR(C258="",D258=""),"",D258-C258)</f>
        <v>-2</v>
      </c>
      <c r="AB258" s="11">
        <f>IF(C258="","",MONTH(C258))</f>
        <v>11</v>
      </c>
      <c r="AC258" s="11">
        <f>IF(C258="","",YEAR(C258))</f>
        <v>2024</v>
      </c>
      <c r="AD258" s="11" t="s">
        <v>65</v>
      </c>
      <c r="AE258" s="11" t="s">
        <v>66</v>
      </c>
      <c r="AF258" s="11" t="s">
        <v>360</v>
      </c>
    </row>
    <row r="259" spans="1:32" s="15" customFormat="1" x14ac:dyDescent="0.25">
      <c r="A259" s="16">
        <v>259</v>
      </c>
      <c r="B259" s="16" t="s">
        <v>927</v>
      </c>
      <c r="C259" s="17">
        <v>45877.77083333333</v>
      </c>
      <c r="D259" s="17">
        <v>45880.77083333333</v>
      </c>
      <c r="E259" s="16" t="s">
        <v>928</v>
      </c>
      <c r="F259" s="16" t="s">
        <v>186</v>
      </c>
      <c r="G259" s="16" t="s">
        <v>109</v>
      </c>
      <c r="H259" s="16" t="s">
        <v>71</v>
      </c>
      <c r="I259" s="16" t="s">
        <v>201</v>
      </c>
      <c r="J259" s="16" t="s">
        <v>202</v>
      </c>
      <c r="K259" s="16" t="s">
        <v>93</v>
      </c>
      <c r="L259" s="16" t="s">
        <v>94</v>
      </c>
      <c r="M259" s="16" t="s">
        <v>929</v>
      </c>
      <c r="N259" s="16" t="s">
        <v>42</v>
      </c>
      <c r="O259" s="16">
        <v>2</v>
      </c>
      <c r="P259" s="18">
        <v>3237.27</v>
      </c>
      <c r="Q259" s="19">
        <v>0</v>
      </c>
      <c r="R259" s="19">
        <v>0</v>
      </c>
      <c r="S259" s="18">
        <v>6474.54</v>
      </c>
      <c r="T259" s="18">
        <v>5095.91</v>
      </c>
      <c r="U259" s="18">
        <v>1378.63</v>
      </c>
      <c r="V259" s="16" t="s">
        <v>43</v>
      </c>
      <c r="W259" s="16" t="s">
        <v>85</v>
      </c>
      <c r="X259" s="18">
        <f>IF(OR(O259="",P259="",R259=""),"",O259*P259*(1-R259))</f>
        <v>6474.54</v>
      </c>
      <c r="Y259" s="18">
        <f>IF(OR(X259="",T259=""),"",X259-T259)</f>
        <v>1378.63</v>
      </c>
      <c r="Z259" s="19">
        <f>IFERROR(Y259/X259,"")</f>
        <v>0.2129</v>
      </c>
      <c r="AA259" s="16">
        <f>IF(OR(C259="",D259=""),"",D259-C259)</f>
        <v>3</v>
      </c>
      <c r="AB259" s="16">
        <f>IF(C259="","",MONTH(C259))</f>
        <v>8</v>
      </c>
      <c r="AC259" s="16">
        <f>IF(C259="","",YEAR(C259))</f>
        <v>2025</v>
      </c>
      <c r="AD259" s="16" t="s">
        <v>86</v>
      </c>
      <c r="AE259" s="16" t="s">
        <v>66</v>
      </c>
      <c r="AF259" s="16" t="s">
        <v>87</v>
      </c>
    </row>
    <row r="260" spans="1:32" x14ac:dyDescent="0.25">
      <c r="A260" s="1">
        <v>260</v>
      </c>
      <c r="B260" s="1" t="s">
        <v>930</v>
      </c>
      <c r="C260" s="2">
        <v>45655.77083333333</v>
      </c>
      <c r="D260" s="2">
        <v>45660.77083333333</v>
      </c>
      <c r="E260" s="1" t="s">
        <v>931</v>
      </c>
      <c r="F260" s="1" t="s">
        <v>153</v>
      </c>
      <c r="G260" s="1" t="s">
        <v>109</v>
      </c>
      <c r="H260" s="1" t="s">
        <v>71</v>
      </c>
      <c r="I260" s="1" t="s">
        <v>277</v>
      </c>
      <c r="J260" s="1" t="s">
        <v>278</v>
      </c>
      <c r="K260" s="1" t="s">
        <v>55</v>
      </c>
      <c r="L260" s="1" t="s">
        <v>56</v>
      </c>
      <c r="M260" s="1" t="s">
        <v>932</v>
      </c>
      <c r="N260" s="1" t="s">
        <v>58</v>
      </c>
      <c r="O260" s="1">
        <v>2</v>
      </c>
      <c r="P260" s="3">
        <v>3720.07</v>
      </c>
      <c r="Q260" s="4">
        <v>0.25</v>
      </c>
      <c r="R260" s="4">
        <v>0.25</v>
      </c>
      <c r="S260" s="3">
        <v>5580.11</v>
      </c>
      <c r="T260" s="3">
        <v>4307.01</v>
      </c>
      <c r="U260" s="3">
        <v>1273.1</v>
      </c>
      <c r="V260" s="1" t="s">
        <v>43</v>
      </c>
      <c r="W260" s="1" t="s">
        <v>44</v>
      </c>
      <c r="X260" s="3">
        <f>IF(OR(O260="",P260="",R260=""),"",O260*P260*(1-R260))</f>
        <v>5580.11</v>
      </c>
      <c r="Y260" s="3">
        <f>IF(OR(X260="",T260=""),"",X260-T260)</f>
        <v>1273.1</v>
      </c>
      <c r="Z260" s="4">
        <f>IFERROR(Y260/X260,"")</f>
        <v>0.2281</v>
      </c>
      <c r="AA260" s="1">
        <f>IF(OR(C260="",D260=""),"",D260-C260)</f>
        <v>5</v>
      </c>
      <c r="AB260" s="1">
        <f>IF(C260="","",MONTH(C260))</f>
        <v>12</v>
      </c>
      <c r="AC260" s="1">
        <f>IF(C260="","",YEAR(C260))</f>
        <v>2024</v>
      </c>
      <c r="AD260" s="1" t="s">
        <v>45</v>
      </c>
      <c r="AE260" s="1" t="s">
        <v>46</v>
      </c>
      <c r="AF260" s="1" t="s">
        <v>47</v>
      </c>
    </row>
    <row r="261" spans="1:32" x14ac:dyDescent="0.25">
      <c r="A261" s="1">
        <v>261</v>
      </c>
      <c r="B261" s="1" t="s">
        <v>933</v>
      </c>
      <c r="C261" s="2">
        <v>45463.77083333333</v>
      </c>
      <c r="D261" s="2">
        <v>45471.77083333333</v>
      </c>
      <c r="E261" s="1" t="s">
        <v>934</v>
      </c>
      <c r="F261" s="1" t="s">
        <v>98</v>
      </c>
      <c r="G261" s="1" t="s">
        <v>35</v>
      </c>
      <c r="H261" s="1" t="s">
        <v>71</v>
      </c>
      <c r="I261" s="1" t="s">
        <v>277</v>
      </c>
      <c r="J261" s="1" t="s">
        <v>278</v>
      </c>
      <c r="K261" s="1" t="s">
        <v>93</v>
      </c>
      <c r="L261" s="1" t="s">
        <v>305</v>
      </c>
      <c r="M261" s="1" t="s">
        <v>935</v>
      </c>
      <c r="N261" s="1" t="s">
        <v>76</v>
      </c>
      <c r="O261" s="1">
        <v>8</v>
      </c>
      <c r="P261" s="3">
        <v>2853.92</v>
      </c>
      <c r="Q261" s="4">
        <v>0.2</v>
      </c>
      <c r="R261" s="4">
        <v>0.2</v>
      </c>
      <c r="S261" s="3">
        <v>18265.09</v>
      </c>
      <c r="T261" s="3">
        <v>10437.14</v>
      </c>
      <c r="U261" s="3">
        <v>7827.95</v>
      </c>
      <c r="V261" s="1" t="s">
        <v>43</v>
      </c>
      <c r="W261" s="1" t="s">
        <v>44</v>
      </c>
      <c r="X261" s="3">
        <f>IF(OR(O261="",P261="",R261=""),"",O261*P261*(1-R261))</f>
        <v>18265.09</v>
      </c>
      <c r="Y261" s="3">
        <f>IF(OR(X261="",T261=""),"",X261-T261)</f>
        <v>7827.95</v>
      </c>
      <c r="Z261" s="4">
        <f>IFERROR(Y261/X261,"")</f>
        <v>0.4286</v>
      </c>
      <c r="AA261" s="1">
        <f>IF(OR(C261="",D261=""),"",D261-C261)</f>
        <v>8</v>
      </c>
      <c r="AB261" s="1">
        <f>IF(C261="","",MONTH(C261))</f>
        <v>6</v>
      </c>
      <c r="AC261" s="1">
        <f>IF(C261="","",YEAR(C261))</f>
        <v>2024</v>
      </c>
      <c r="AD261" s="1" t="s">
        <v>45</v>
      </c>
      <c r="AE261" s="1" t="s">
        <v>46</v>
      </c>
      <c r="AF261" s="1" t="s">
        <v>47</v>
      </c>
    </row>
    <row r="262" spans="1:32" s="15" customFormat="1" x14ac:dyDescent="0.25">
      <c r="A262" s="16">
        <v>262</v>
      </c>
      <c r="B262" s="16" t="s">
        <v>936</v>
      </c>
      <c r="C262" s="17">
        <v>45922.77083333333</v>
      </c>
      <c r="D262" s="17">
        <v>45926.77083333333</v>
      </c>
      <c r="E262" s="16" t="s">
        <v>937</v>
      </c>
      <c r="F262" s="16" t="s">
        <v>108</v>
      </c>
      <c r="G262" s="16" t="s">
        <v>109</v>
      </c>
      <c r="H262" s="16" t="s">
        <v>52</v>
      </c>
      <c r="I262" s="16" t="s">
        <v>118</v>
      </c>
      <c r="J262" s="16" t="s">
        <v>119</v>
      </c>
      <c r="K262" s="16" t="s">
        <v>39</v>
      </c>
      <c r="L262" s="16" t="s">
        <v>176</v>
      </c>
      <c r="M262" s="16" t="s">
        <v>938</v>
      </c>
      <c r="N262" s="16" t="s">
        <v>58</v>
      </c>
      <c r="O262" s="16">
        <v>7</v>
      </c>
      <c r="P262" s="18">
        <v>2897.12</v>
      </c>
      <c r="Q262" s="19">
        <v>0.25</v>
      </c>
      <c r="R262" s="19">
        <v>0.25</v>
      </c>
      <c r="S262" s="18">
        <v>15209.88</v>
      </c>
      <c r="T262" s="18">
        <v>10891.15</v>
      </c>
      <c r="U262" s="18">
        <v>4318.73</v>
      </c>
      <c r="V262" s="16" t="s">
        <v>178</v>
      </c>
      <c r="W262" s="16" t="s">
        <v>122</v>
      </c>
      <c r="X262" s="18">
        <f>IF(OR(O262="",P262="",R262=""),"",O262*P262*(1-R262))</f>
        <v>15209.88</v>
      </c>
      <c r="Y262" s="18">
        <f>IF(OR(X262="",T262=""),"",X262-T262)</f>
        <v>4318.73</v>
      </c>
      <c r="Z262" s="19">
        <f>IFERROR(Y262/X262,"")</f>
        <v>0.2839</v>
      </c>
      <c r="AA262" s="16">
        <f>IF(OR(C262="",D262=""),"",D262-C262)</f>
        <v>4</v>
      </c>
      <c r="AB262" s="16">
        <f>IF(C262="","",MONTH(C262))</f>
        <v>9</v>
      </c>
      <c r="AC262" s="16">
        <f>IF(C262="","",YEAR(C262))</f>
        <v>2025</v>
      </c>
      <c r="AD262" s="16" t="s">
        <v>86</v>
      </c>
      <c r="AE262" s="16" t="s">
        <v>66</v>
      </c>
      <c r="AF262" s="16" t="s">
        <v>179</v>
      </c>
    </row>
    <row r="263" spans="1:32" s="15" customFormat="1" x14ac:dyDescent="0.25">
      <c r="A263" s="16">
        <v>263</v>
      </c>
      <c r="B263" s="16" t="s">
        <v>939</v>
      </c>
      <c r="C263" s="17">
        <v>45825.77083333333</v>
      </c>
      <c r="D263" s="17">
        <v>45831.77083333333</v>
      </c>
      <c r="E263" s="16" t="s">
        <v>940</v>
      </c>
      <c r="F263" s="16" t="s">
        <v>153</v>
      </c>
      <c r="G263" s="16" t="s">
        <v>109</v>
      </c>
      <c r="H263" s="16" t="s">
        <v>36</v>
      </c>
      <c r="I263" s="16" t="s">
        <v>37</v>
      </c>
      <c r="J263" s="16" t="s">
        <v>38</v>
      </c>
      <c r="K263" s="16" t="s">
        <v>39</v>
      </c>
      <c r="L263" s="16" t="s">
        <v>110</v>
      </c>
      <c r="M263" s="16" t="s">
        <v>941</v>
      </c>
      <c r="N263" s="16" t="s">
        <v>76</v>
      </c>
      <c r="O263" s="16">
        <v>3</v>
      </c>
      <c r="P263" s="18">
        <v>686.74</v>
      </c>
      <c r="Q263" s="19">
        <v>0.2</v>
      </c>
      <c r="R263" s="19">
        <v>0.2</v>
      </c>
      <c r="S263" s="18">
        <v>1648.18</v>
      </c>
      <c r="T263" s="18">
        <v>987.91</v>
      </c>
      <c r="U263" s="18">
        <v>660.27</v>
      </c>
      <c r="V263" s="16" t="s">
        <v>178</v>
      </c>
      <c r="W263" s="16" t="s">
        <v>85</v>
      </c>
      <c r="X263" s="18">
        <f>IF(OR(O263="",P263="",R263=""),"",O263*P263*(1-R263))</f>
        <v>1648.18</v>
      </c>
      <c r="Y263" s="18">
        <f>IF(OR(X263="",T263=""),"",X263-T263)</f>
        <v>660.27</v>
      </c>
      <c r="Z263" s="19">
        <f>IFERROR(Y263/X263,"")</f>
        <v>0.4006</v>
      </c>
      <c r="AA263" s="16">
        <f>IF(OR(C263="",D263=""),"",D263-C263)</f>
        <v>6</v>
      </c>
      <c r="AB263" s="16">
        <f>IF(C263="","",MONTH(C263))</f>
        <v>6</v>
      </c>
      <c r="AC263" s="16">
        <f>IF(C263="","",YEAR(C263))</f>
        <v>2025</v>
      </c>
      <c r="AD263" s="16" t="s">
        <v>86</v>
      </c>
      <c r="AE263" s="16" t="s">
        <v>66</v>
      </c>
      <c r="AF263" s="16" t="s">
        <v>296</v>
      </c>
    </row>
    <row r="264" spans="1:32" s="15" customFormat="1" x14ac:dyDescent="0.25">
      <c r="A264" s="16">
        <v>264</v>
      </c>
      <c r="B264" s="16" t="s">
        <v>942</v>
      </c>
      <c r="C264" s="17">
        <v>45802.77083333333</v>
      </c>
      <c r="D264" s="17">
        <v>45808.77083333333</v>
      </c>
      <c r="E264" s="16" t="s">
        <v>673</v>
      </c>
      <c r="F264" s="16" t="s">
        <v>70</v>
      </c>
      <c r="G264" s="16" t="s">
        <v>51</v>
      </c>
      <c r="H264" s="16" t="s">
        <v>36</v>
      </c>
      <c r="I264" s="16" t="s">
        <v>384</v>
      </c>
      <c r="J264" s="16" t="s">
        <v>385</v>
      </c>
      <c r="K264" s="16" t="s">
        <v>93</v>
      </c>
      <c r="L264" s="16" t="s">
        <v>196</v>
      </c>
      <c r="M264" s="16" t="s">
        <v>943</v>
      </c>
      <c r="N264" s="16" t="s">
        <v>58</v>
      </c>
      <c r="O264" s="16">
        <v>4</v>
      </c>
      <c r="P264" s="18">
        <v>3349.86</v>
      </c>
      <c r="Q264" s="19">
        <v>0</v>
      </c>
      <c r="R264" s="19">
        <v>0</v>
      </c>
      <c r="S264" s="18">
        <v>13399.44</v>
      </c>
      <c r="T264" s="18">
        <v>8581.35</v>
      </c>
      <c r="U264" s="18">
        <v>4818.09</v>
      </c>
      <c r="V264" s="16" t="s">
        <v>131</v>
      </c>
      <c r="W264" s="16" t="s">
        <v>122</v>
      </c>
      <c r="X264" s="18">
        <f>IF(OR(O264="",P264="",R264=""),"",O264*P264*(1-R264))</f>
        <v>13399.44</v>
      </c>
      <c r="Y264" s="18">
        <f>IF(OR(X264="",T264=""),"",X264-T264)</f>
        <v>4818.09</v>
      </c>
      <c r="Z264" s="19">
        <f>IFERROR(Y264/X264,"")</f>
        <v>0.3596</v>
      </c>
      <c r="AA264" s="16">
        <f>IF(OR(C264="",D264=""),"",D264-C264)</f>
        <v>6</v>
      </c>
      <c r="AB264" s="16">
        <f>IF(C264="","",MONTH(C264))</f>
        <v>5</v>
      </c>
      <c r="AC264" s="16">
        <f>IF(C264="","",YEAR(C264))</f>
        <v>2025</v>
      </c>
      <c r="AD264" s="16" t="s">
        <v>86</v>
      </c>
      <c r="AE264" s="16" t="s">
        <v>66</v>
      </c>
      <c r="AF264" s="16" t="s">
        <v>132</v>
      </c>
    </row>
    <row r="265" spans="1:32" s="15" customFormat="1" x14ac:dyDescent="0.25">
      <c r="A265" s="16">
        <v>265</v>
      </c>
      <c r="B265" s="16" t="s">
        <v>944</v>
      </c>
      <c r="C265" s="17">
        <v>45874.77083333333</v>
      </c>
      <c r="D265" s="17">
        <v>45878.77083333333</v>
      </c>
      <c r="E265" s="16" t="s">
        <v>945</v>
      </c>
      <c r="F265" s="16" t="s">
        <v>163</v>
      </c>
      <c r="G265" s="16" t="s">
        <v>51</v>
      </c>
      <c r="H265" s="16" t="s">
        <v>36</v>
      </c>
      <c r="I265" s="16" t="s">
        <v>384</v>
      </c>
      <c r="J265" s="16" t="s">
        <v>385</v>
      </c>
      <c r="K265" s="16" t="s">
        <v>39</v>
      </c>
      <c r="L265" s="16" t="s">
        <v>176</v>
      </c>
      <c r="M265" s="16" t="s">
        <v>946</v>
      </c>
      <c r="N265" s="16" t="s">
        <v>42</v>
      </c>
      <c r="O265" s="16">
        <v>9</v>
      </c>
      <c r="P265" s="18">
        <v>4042.45</v>
      </c>
      <c r="Q265" s="19">
        <v>0.1</v>
      </c>
      <c r="R265" s="19">
        <v>0.1</v>
      </c>
      <c r="S265" s="18">
        <v>32743.84</v>
      </c>
      <c r="T265" s="18">
        <v>22452.05</v>
      </c>
      <c r="U265" s="18">
        <v>10291.79</v>
      </c>
      <c r="V265" s="16" t="s">
        <v>131</v>
      </c>
      <c r="W265" s="16" t="s">
        <v>122</v>
      </c>
      <c r="X265" s="18">
        <f>IF(OR(O265="",P265="",R265=""),"",O265*P265*(1-R265))</f>
        <v>32743.84</v>
      </c>
      <c r="Y265" s="18">
        <f>IF(OR(X265="",T265=""),"",X265-T265)</f>
        <v>10291.79</v>
      </c>
      <c r="Z265" s="19">
        <f>IFERROR(Y265/X265,"")</f>
        <v>0.3143</v>
      </c>
      <c r="AA265" s="16">
        <f>IF(OR(C265="",D265=""),"",D265-C265)</f>
        <v>4</v>
      </c>
      <c r="AB265" s="16">
        <f>IF(C265="","",MONTH(C265))</f>
        <v>8</v>
      </c>
      <c r="AC265" s="16">
        <f>IF(C265="","",YEAR(C265))</f>
        <v>2025</v>
      </c>
      <c r="AD265" s="16" t="s">
        <v>86</v>
      </c>
      <c r="AE265" s="16" t="s">
        <v>66</v>
      </c>
      <c r="AF265" s="16" t="s">
        <v>132</v>
      </c>
    </row>
    <row r="266" spans="1:32" x14ac:dyDescent="0.25">
      <c r="A266" s="1">
        <v>266</v>
      </c>
      <c r="B266" s="1" t="s">
        <v>947</v>
      </c>
      <c r="C266" s="2">
        <v>45427.77083333333</v>
      </c>
      <c r="D266" s="2">
        <v>45432.77083333333</v>
      </c>
      <c r="E266" s="1" t="s">
        <v>948</v>
      </c>
      <c r="F266" s="1" t="s">
        <v>186</v>
      </c>
      <c r="G266" s="1" t="s">
        <v>51</v>
      </c>
      <c r="H266" s="1" t="s">
        <v>52</v>
      </c>
      <c r="I266" s="1" t="s">
        <v>168</v>
      </c>
      <c r="J266" s="1" t="s">
        <v>169</v>
      </c>
      <c r="K266" s="1" t="s">
        <v>93</v>
      </c>
      <c r="L266" s="1" t="s">
        <v>99</v>
      </c>
      <c r="M266" s="1" t="s">
        <v>949</v>
      </c>
      <c r="N266" s="1" t="s">
        <v>76</v>
      </c>
      <c r="O266" s="1">
        <v>4</v>
      </c>
      <c r="P266" s="3">
        <v>1503.07</v>
      </c>
      <c r="Q266" s="4">
        <v>0</v>
      </c>
      <c r="R266" s="4">
        <v>0</v>
      </c>
      <c r="S266" s="3">
        <v>6012.28</v>
      </c>
      <c r="T266" s="3">
        <v>3927.64</v>
      </c>
      <c r="U266" s="3">
        <v>2084.64</v>
      </c>
      <c r="V266" s="1" t="s">
        <v>43</v>
      </c>
      <c r="W266" s="1" t="s">
        <v>44</v>
      </c>
      <c r="X266" s="3">
        <f>IF(OR(O266="",P266="",R266=""),"",O266*P266*(1-R266))</f>
        <v>6012.28</v>
      </c>
      <c r="Y266" s="3">
        <f>IF(OR(X266="",T266=""),"",X266-T266)</f>
        <v>2084.64</v>
      </c>
      <c r="Z266" s="4">
        <f>IFERROR(Y266/X266,"")</f>
        <v>0.3467</v>
      </c>
      <c r="AA266" s="1">
        <f>IF(OR(C266="",D266=""),"",D266-C266)</f>
        <v>5</v>
      </c>
      <c r="AB266" s="1">
        <f>IF(C266="","",MONTH(C266))</f>
        <v>5</v>
      </c>
      <c r="AC266" s="1">
        <f>IF(C266="","",YEAR(C266))</f>
        <v>2024</v>
      </c>
      <c r="AD266" s="1" t="s">
        <v>45</v>
      </c>
      <c r="AE266" s="1" t="s">
        <v>46</v>
      </c>
      <c r="AF266" s="1" t="s">
        <v>47</v>
      </c>
    </row>
    <row r="267" spans="1:32" s="15" customFormat="1" x14ac:dyDescent="0.25">
      <c r="A267" s="16">
        <v>267</v>
      </c>
      <c r="B267" s="16" t="s">
        <v>950</v>
      </c>
      <c r="C267" s="17">
        <v>45609.77083333333</v>
      </c>
      <c r="D267" s="17">
        <v>45617.77083333333</v>
      </c>
      <c r="E267" s="16" t="s">
        <v>951</v>
      </c>
      <c r="F267" s="16" t="s">
        <v>135</v>
      </c>
      <c r="G267" s="16" t="s">
        <v>109</v>
      </c>
      <c r="H267" s="16" t="s">
        <v>52</v>
      </c>
      <c r="I267" s="16" t="s">
        <v>168</v>
      </c>
      <c r="J267" s="16" t="s">
        <v>169</v>
      </c>
      <c r="K267" s="16" t="s">
        <v>55</v>
      </c>
      <c r="L267" s="16" t="s">
        <v>182</v>
      </c>
      <c r="M267" s="16" t="s">
        <v>952</v>
      </c>
      <c r="N267" s="16" t="s">
        <v>58</v>
      </c>
      <c r="O267" s="16">
        <v>1</v>
      </c>
      <c r="P267" s="18">
        <v>582.37</v>
      </c>
      <c r="Q267" s="19">
        <v>0.15</v>
      </c>
      <c r="R267" s="19">
        <v>0.15</v>
      </c>
      <c r="S267" s="18">
        <v>495.01</v>
      </c>
      <c r="T267" s="18">
        <v>285.13</v>
      </c>
      <c r="U267" s="18">
        <v>209.88</v>
      </c>
      <c r="V267" s="16" t="s">
        <v>121</v>
      </c>
      <c r="W267" s="16" t="s">
        <v>85</v>
      </c>
      <c r="X267" s="18">
        <f>IF(OR(O267="",P267="",R267=""),"",O267*P267*(1-R267))</f>
        <v>495.01</v>
      </c>
      <c r="Y267" s="18">
        <f>IF(OR(X267="",T267=""),"",X267-T267)</f>
        <v>209.88</v>
      </c>
      <c r="Z267" s="19">
        <f>IFERROR(Y267/X267,"")</f>
        <v>0.424</v>
      </c>
      <c r="AA267" s="16">
        <f>IF(OR(C267="",D267=""),"",D267-C267)</f>
        <v>8</v>
      </c>
      <c r="AB267" s="16">
        <f>IF(C267="","",MONTH(C267))</f>
        <v>11</v>
      </c>
      <c r="AC267" s="16">
        <f>IF(C267="","",YEAR(C267))</f>
        <v>2024</v>
      </c>
      <c r="AD267" s="16" t="s">
        <v>86</v>
      </c>
      <c r="AE267" s="16" t="s">
        <v>66</v>
      </c>
      <c r="AF267" s="16" t="s">
        <v>160</v>
      </c>
    </row>
    <row r="268" spans="1:32" x14ac:dyDescent="0.25">
      <c r="A268" s="1">
        <v>268</v>
      </c>
      <c r="B268" s="1" t="s">
        <v>953</v>
      </c>
      <c r="C268" s="2">
        <v>45779.77083333333</v>
      </c>
      <c r="D268" s="2">
        <v>45786.77083333333</v>
      </c>
      <c r="E268" s="1" t="s">
        <v>954</v>
      </c>
      <c r="F268" s="1" t="s">
        <v>98</v>
      </c>
      <c r="G268" s="1" t="s">
        <v>114</v>
      </c>
      <c r="H268" s="1" t="s">
        <v>80</v>
      </c>
      <c r="I268" s="1" t="s">
        <v>81</v>
      </c>
      <c r="J268" s="1" t="s">
        <v>82</v>
      </c>
      <c r="K268" s="1" t="s">
        <v>39</v>
      </c>
      <c r="L268" s="1" t="s">
        <v>145</v>
      </c>
      <c r="M268" s="1" t="s">
        <v>955</v>
      </c>
      <c r="N268" s="1" t="s">
        <v>42</v>
      </c>
      <c r="O268" s="1">
        <v>3</v>
      </c>
      <c r="P268" s="3">
        <v>4339.24</v>
      </c>
      <c r="Q268" s="4">
        <v>0</v>
      </c>
      <c r="R268" s="4">
        <v>0</v>
      </c>
      <c r="S268" s="3">
        <v>13017.72</v>
      </c>
      <c r="T268" s="3">
        <v>10170.57</v>
      </c>
      <c r="U268" s="3">
        <v>2847.15</v>
      </c>
      <c r="V268" s="1" t="s">
        <v>43</v>
      </c>
      <c r="W268" s="1" t="s">
        <v>44</v>
      </c>
      <c r="X268" s="3">
        <f>IF(OR(O268="",P268="",R268=""),"",O268*P268*(1-R268))</f>
        <v>13017.72</v>
      </c>
      <c r="Y268" s="3">
        <f>IF(OR(X268="",T268=""),"",X268-T268)</f>
        <v>2847.15</v>
      </c>
      <c r="Z268" s="4">
        <f>IFERROR(Y268/X268,"")</f>
        <v>0.2187</v>
      </c>
      <c r="AA268" s="1">
        <f>IF(OR(C268="",D268=""),"",D268-C268)</f>
        <v>7</v>
      </c>
      <c r="AB268" s="1">
        <f>IF(C268="","",MONTH(C268))</f>
        <v>5</v>
      </c>
      <c r="AC268" s="1">
        <f>IF(C268="","",YEAR(C268))</f>
        <v>2025</v>
      </c>
      <c r="AD268" s="1" t="s">
        <v>45</v>
      </c>
      <c r="AE268" s="1" t="s">
        <v>46</v>
      </c>
      <c r="AF268" s="1" t="s">
        <v>47</v>
      </c>
    </row>
    <row r="269" spans="1:32" x14ac:dyDescent="0.25">
      <c r="A269" s="1">
        <v>269</v>
      </c>
      <c r="B269" s="1" t="s">
        <v>956</v>
      </c>
      <c r="C269" s="2">
        <v>45804.77083333333</v>
      </c>
      <c r="D269" s="2">
        <v>45811.77083333333</v>
      </c>
      <c r="E269" s="1" t="s">
        <v>957</v>
      </c>
      <c r="F269" s="1" t="s">
        <v>186</v>
      </c>
      <c r="G269" s="1" t="s">
        <v>109</v>
      </c>
      <c r="H269" s="1" t="s">
        <v>52</v>
      </c>
      <c r="I269" s="1" t="s">
        <v>258</v>
      </c>
      <c r="J269" s="1" t="s">
        <v>259</v>
      </c>
      <c r="K269" s="1" t="s">
        <v>55</v>
      </c>
      <c r="L269" s="1" t="s">
        <v>74</v>
      </c>
      <c r="M269" s="1" t="s">
        <v>958</v>
      </c>
      <c r="N269" s="1" t="s">
        <v>64</v>
      </c>
      <c r="O269" s="1">
        <v>4</v>
      </c>
      <c r="P269" s="3">
        <v>261.8</v>
      </c>
      <c r="Q269" s="4">
        <v>0.25</v>
      </c>
      <c r="R269" s="4">
        <v>0.25</v>
      </c>
      <c r="S269" s="3">
        <v>785.4</v>
      </c>
      <c r="T269" s="3">
        <v>557.22</v>
      </c>
      <c r="U269" s="3">
        <v>228.18</v>
      </c>
      <c r="V269" s="1" t="s">
        <v>43</v>
      </c>
      <c r="W269" s="1" t="s">
        <v>44</v>
      </c>
      <c r="X269" s="3">
        <f>IF(OR(O269="",P269="",R269=""),"",O269*P269*(1-R269))</f>
        <v>785.4</v>
      </c>
      <c r="Y269" s="3">
        <f>IF(OR(X269="",T269=""),"",X269-T269)</f>
        <v>228.18</v>
      </c>
      <c r="Z269" s="4">
        <f>IFERROR(Y269/X269,"")</f>
        <v>0.2905</v>
      </c>
      <c r="AA269" s="1">
        <f>IF(OR(C269="",D269=""),"",D269-C269)</f>
        <v>7</v>
      </c>
      <c r="AB269" s="1">
        <f>IF(C269="","",MONTH(C269))</f>
        <v>5</v>
      </c>
      <c r="AC269" s="1">
        <f>IF(C269="","",YEAR(C269))</f>
        <v>2025</v>
      </c>
      <c r="AD269" s="1" t="s">
        <v>45</v>
      </c>
      <c r="AE269" s="1" t="s">
        <v>46</v>
      </c>
      <c r="AF269" s="1" t="s">
        <v>47</v>
      </c>
    </row>
    <row r="270" spans="1:32" x14ac:dyDescent="0.25">
      <c r="A270" s="1">
        <v>270</v>
      </c>
      <c r="B270" s="1" t="s">
        <v>959</v>
      </c>
      <c r="C270" s="2">
        <v>45885.77083333333</v>
      </c>
      <c r="D270" s="2">
        <v>45885.77083333333</v>
      </c>
      <c r="E270" s="1" t="s">
        <v>960</v>
      </c>
      <c r="F270" s="1" t="s">
        <v>149</v>
      </c>
      <c r="G270" s="1" t="s">
        <v>114</v>
      </c>
      <c r="H270" s="1" t="s">
        <v>36</v>
      </c>
      <c r="I270" s="1" t="s">
        <v>143</v>
      </c>
      <c r="J270" s="1" t="s">
        <v>144</v>
      </c>
      <c r="K270" s="1" t="s">
        <v>93</v>
      </c>
      <c r="L270" s="1" t="s">
        <v>94</v>
      </c>
      <c r="M270" s="1" t="s">
        <v>961</v>
      </c>
      <c r="N270" s="1" t="s">
        <v>64</v>
      </c>
      <c r="O270" s="1">
        <v>7</v>
      </c>
      <c r="P270" s="3">
        <v>632.2</v>
      </c>
      <c r="Q270" s="4">
        <v>0.25</v>
      </c>
      <c r="R270" s="4">
        <v>0.25</v>
      </c>
      <c r="S270" s="3">
        <v>3319.05</v>
      </c>
      <c r="T270" s="3">
        <v>2124.6</v>
      </c>
      <c r="U270" s="3">
        <v>1194.45</v>
      </c>
      <c r="V270" s="1" t="s">
        <v>43</v>
      </c>
      <c r="W270" s="1" t="s">
        <v>44</v>
      </c>
      <c r="X270" s="3">
        <f>IF(OR(O270="",P270="",R270=""),"",O270*P270*(1-R270))</f>
        <v>3319.05</v>
      </c>
      <c r="Y270" s="3">
        <f>IF(OR(X270="",T270=""),"",X270-T270)</f>
        <v>1194.45</v>
      </c>
      <c r="Z270" s="4">
        <f>IFERROR(Y270/X270,"")</f>
        <v>0.3599</v>
      </c>
      <c r="AA270" s="1">
        <f>IF(OR(C270="",D270=""),"",D270-C270)</f>
        <v>0</v>
      </c>
      <c r="AB270" s="1">
        <f>IF(C270="","",MONTH(C270))</f>
        <v>8</v>
      </c>
      <c r="AC270" s="1">
        <f>IF(C270="","",YEAR(C270))</f>
        <v>2025</v>
      </c>
      <c r="AD270" s="1" t="s">
        <v>45</v>
      </c>
      <c r="AE270" s="1" t="s">
        <v>46</v>
      </c>
      <c r="AF270" s="1" t="s">
        <v>47</v>
      </c>
    </row>
    <row r="271" spans="1:32" x14ac:dyDescent="0.25">
      <c r="A271" s="1">
        <v>271</v>
      </c>
      <c r="B271" s="1" t="s">
        <v>962</v>
      </c>
      <c r="C271" s="2">
        <v>45697.77083333333</v>
      </c>
      <c r="D271" s="2">
        <v>45699.77083333333</v>
      </c>
      <c r="E271" s="1" t="s">
        <v>963</v>
      </c>
      <c r="F271" s="1" t="s">
        <v>139</v>
      </c>
      <c r="G271" s="1" t="s">
        <v>51</v>
      </c>
      <c r="H271" s="1" t="s">
        <v>80</v>
      </c>
      <c r="I271" s="1" t="s">
        <v>37</v>
      </c>
      <c r="J271" s="1" t="s">
        <v>129</v>
      </c>
      <c r="K271" s="1" t="s">
        <v>55</v>
      </c>
      <c r="L271" s="1" t="s">
        <v>56</v>
      </c>
      <c r="M271" s="1" t="s">
        <v>964</v>
      </c>
      <c r="N271" s="1" t="s">
        <v>58</v>
      </c>
      <c r="O271" s="1">
        <v>1</v>
      </c>
      <c r="P271" s="3">
        <v>1925.86</v>
      </c>
      <c r="Q271" s="4">
        <v>0</v>
      </c>
      <c r="R271" s="4">
        <v>0</v>
      </c>
      <c r="S271" s="3">
        <v>1925.86</v>
      </c>
      <c r="T271" s="3">
        <v>1321.89</v>
      </c>
      <c r="U271" s="3">
        <v>603.97</v>
      </c>
      <c r="V271" s="1" t="s">
        <v>43</v>
      </c>
      <c r="W271" s="1" t="s">
        <v>44</v>
      </c>
      <c r="X271" s="3">
        <f>IF(OR(O271="",P271="",R271=""),"",O271*P271*(1-R271))</f>
        <v>1925.86</v>
      </c>
      <c r="Y271" s="3">
        <f>IF(OR(X271="",T271=""),"",X271-T271)</f>
        <v>603.97</v>
      </c>
      <c r="Z271" s="4">
        <f>IFERROR(Y271/X271,"")</f>
        <v>0.3136</v>
      </c>
      <c r="AA271" s="1">
        <f>IF(OR(C271="",D271=""),"",D271-C271)</f>
        <v>2</v>
      </c>
      <c r="AB271" s="1">
        <f>IF(C271="","",MONTH(C271))</f>
        <v>2</v>
      </c>
      <c r="AC271" s="1">
        <f>IF(C271="","",YEAR(C271))</f>
        <v>2025</v>
      </c>
      <c r="AD271" s="1" t="s">
        <v>45</v>
      </c>
      <c r="AE271" s="1" t="s">
        <v>46</v>
      </c>
      <c r="AF271" s="1" t="s">
        <v>47</v>
      </c>
    </row>
    <row r="272" spans="1:32" x14ac:dyDescent="0.25">
      <c r="A272" s="1">
        <v>272</v>
      </c>
      <c r="B272" s="1" t="s">
        <v>965</v>
      </c>
      <c r="C272" s="2">
        <v>45302.77083333333</v>
      </c>
      <c r="D272" s="2">
        <v>45303.77083333333</v>
      </c>
      <c r="E272" s="1" t="s">
        <v>966</v>
      </c>
      <c r="F272" s="1" t="s">
        <v>108</v>
      </c>
      <c r="G272" s="1" t="s">
        <v>109</v>
      </c>
      <c r="H272" s="1" t="s">
        <v>36</v>
      </c>
      <c r="I272" s="1" t="s">
        <v>157</v>
      </c>
      <c r="J272" s="1" t="s">
        <v>158</v>
      </c>
      <c r="K272" s="1" t="s">
        <v>93</v>
      </c>
      <c r="L272" s="1" t="s">
        <v>305</v>
      </c>
      <c r="M272" s="1" t="s">
        <v>967</v>
      </c>
      <c r="N272" s="1" t="s">
        <v>58</v>
      </c>
      <c r="O272" s="1">
        <v>3</v>
      </c>
      <c r="P272" s="3">
        <v>827.44</v>
      </c>
      <c r="Q272" s="4">
        <v>0</v>
      </c>
      <c r="R272" s="4">
        <v>0</v>
      </c>
      <c r="S272" s="3">
        <v>2482.32</v>
      </c>
      <c r="T272" s="3">
        <v>1520.21</v>
      </c>
      <c r="U272" s="3">
        <v>962.11</v>
      </c>
      <c r="V272" s="1" t="s">
        <v>43</v>
      </c>
      <c r="W272" s="1" t="s">
        <v>44</v>
      </c>
      <c r="X272" s="3">
        <f>IF(OR(O272="",P272="",R272=""),"",O272*P272*(1-R272))</f>
        <v>2482.32</v>
      </c>
      <c r="Y272" s="3">
        <f>IF(OR(X272="",T272=""),"",X272-T272)</f>
        <v>962.11</v>
      </c>
      <c r="Z272" s="4">
        <f>IFERROR(Y272/X272,"")</f>
        <v>0.3876</v>
      </c>
      <c r="AA272" s="1">
        <f>IF(OR(C272="",D272=""),"",D272-C272)</f>
        <v>1</v>
      </c>
      <c r="AB272" s="1">
        <f>IF(C272="","",MONTH(C272))</f>
        <v>1</v>
      </c>
      <c r="AC272" s="1">
        <f>IF(C272="","",YEAR(C272))</f>
        <v>2024</v>
      </c>
      <c r="AD272" s="1" t="s">
        <v>45</v>
      </c>
      <c r="AE272" s="1" t="s">
        <v>46</v>
      </c>
      <c r="AF272" s="1" t="s">
        <v>47</v>
      </c>
    </row>
    <row r="273" spans="1:32" s="15" customFormat="1" x14ac:dyDescent="0.25">
      <c r="A273" s="16">
        <v>273</v>
      </c>
      <c r="B273" s="16" t="s">
        <v>968</v>
      </c>
      <c r="C273" s="17">
        <v>45646.77083333333</v>
      </c>
      <c r="D273" s="17">
        <v>45650.77083333333</v>
      </c>
      <c r="E273" s="16" t="s">
        <v>969</v>
      </c>
      <c r="F273" s="16" t="s">
        <v>108</v>
      </c>
      <c r="G273" s="16" t="s">
        <v>35</v>
      </c>
      <c r="H273" s="16" t="s">
        <v>71</v>
      </c>
      <c r="I273" s="16" t="s">
        <v>72</v>
      </c>
      <c r="J273" s="16" t="s">
        <v>73</v>
      </c>
      <c r="K273" s="16" t="s">
        <v>39</v>
      </c>
      <c r="L273" s="16" t="s">
        <v>176</v>
      </c>
      <c r="M273" s="16" t="s">
        <v>970</v>
      </c>
      <c r="N273" s="16" t="s">
        <v>76</v>
      </c>
      <c r="O273" s="16">
        <v>7</v>
      </c>
      <c r="P273" s="18">
        <v>1667.75</v>
      </c>
      <c r="Q273" s="19">
        <v>0</v>
      </c>
      <c r="R273" s="19">
        <v>0</v>
      </c>
      <c r="S273" s="18">
        <v>11674.25</v>
      </c>
      <c r="T273" s="18">
        <v>9621.19</v>
      </c>
      <c r="U273" s="18">
        <v>2053.06</v>
      </c>
      <c r="V273" s="16" t="s">
        <v>178</v>
      </c>
      <c r="W273" s="16" t="s">
        <v>85</v>
      </c>
      <c r="X273" s="18">
        <f>IF(OR(O273="",P273="",R273=""),"",O273*P273*(1-R273))</f>
        <v>11674.25</v>
      </c>
      <c r="Y273" s="18">
        <f>IF(OR(X273="",T273=""),"",X273-T273)</f>
        <v>2053.06</v>
      </c>
      <c r="Z273" s="19">
        <f>IFERROR(Y273/X273,"")</f>
        <v>0.1759</v>
      </c>
      <c r="AA273" s="16">
        <f>IF(OR(C273="",D273=""),"",D273-C273)</f>
        <v>4</v>
      </c>
      <c r="AB273" s="16">
        <f>IF(C273="","",MONTH(C273))</f>
        <v>12</v>
      </c>
      <c r="AC273" s="16">
        <f>IF(C273="","",YEAR(C273))</f>
        <v>2024</v>
      </c>
      <c r="AD273" s="16" t="s">
        <v>86</v>
      </c>
      <c r="AE273" s="16" t="s">
        <v>66</v>
      </c>
      <c r="AF273" s="16" t="s">
        <v>296</v>
      </c>
    </row>
    <row r="274" spans="1:32" s="10" customFormat="1" x14ac:dyDescent="0.25">
      <c r="A274" s="11">
        <v>274</v>
      </c>
      <c r="B274" s="11" t="s">
        <v>971</v>
      </c>
      <c r="C274" s="12">
        <v>45521.77083333333</v>
      </c>
      <c r="D274" s="12">
        <v>45527.77083333333</v>
      </c>
      <c r="E274" s="11" t="s">
        <v>972</v>
      </c>
      <c r="F274" s="11" t="s">
        <v>70</v>
      </c>
      <c r="G274" s="11" t="s">
        <v>35</v>
      </c>
      <c r="H274" s="11" t="s">
        <v>71</v>
      </c>
      <c r="I274" s="11" t="s">
        <v>103</v>
      </c>
      <c r="J274" s="11" t="s">
        <v>104</v>
      </c>
      <c r="K274" s="11" t="s">
        <v>55</v>
      </c>
      <c r="L274" s="11" t="s">
        <v>83</v>
      </c>
      <c r="M274" s="11" t="s">
        <v>973</v>
      </c>
      <c r="N274" s="11" t="s">
        <v>64</v>
      </c>
      <c r="O274" s="11">
        <v>7</v>
      </c>
      <c r="P274" s="13">
        <v>557.21</v>
      </c>
      <c r="Q274" s="14">
        <v>0.1</v>
      </c>
      <c r="R274" s="14">
        <v>0.1</v>
      </c>
      <c r="S274" s="13">
        <v>3510.42</v>
      </c>
      <c r="T274" s="13">
        <v>2191.5</v>
      </c>
      <c r="U274" s="13">
        <v>1213.48</v>
      </c>
      <c r="V274" s="11" t="s">
        <v>43</v>
      </c>
      <c r="W274" s="11" t="s">
        <v>44</v>
      </c>
      <c r="X274" s="13">
        <f>IF(OR(O274="",P274="",R274=""),"",O274*P274*(1-R274))</f>
        <v>3510.42</v>
      </c>
      <c r="Y274" s="13">
        <f>IF(OR(X274="",T274=""),"",X274-T274)</f>
        <v>1318.92</v>
      </c>
      <c r="Z274" s="14">
        <f>IFERROR(Y274/X274,"")</f>
        <v>0.3757</v>
      </c>
      <c r="AA274" s="11">
        <f>IF(OR(C274="",D274=""),"",D274-C274)</f>
        <v>6</v>
      </c>
      <c r="AB274" s="11">
        <f>IF(C274="","",MONTH(C274))</f>
        <v>8</v>
      </c>
      <c r="AC274" s="11">
        <f>IF(C274="","",YEAR(C274))</f>
        <v>2024</v>
      </c>
      <c r="AD274" s="11" t="s">
        <v>65</v>
      </c>
      <c r="AE274" s="11" t="s">
        <v>66</v>
      </c>
      <c r="AF274" s="11" t="s">
        <v>974</v>
      </c>
    </row>
    <row r="275" spans="1:32" s="15" customFormat="1" x14ac:dyDescent="0.25">
      <c r="A275" s="16">
        <v>275</v>
      </c>
      <c r="B275" s="16" t="s">
        <v>975</v>
      </c>
      <c r="C275" s="17">
        <v>45700.77083333333</v>
      </c>
      <c r="D275" s="17">
        <v>45700.77083333333</v>
      </c>
      <c r="E275" s="16" t="s">
        <v>976</v>
      </c>
      <c r="F275" s="16" t="s">
        <v>61</v>
      </c>
      <c r="G275" s="16" t="s">
        <v>35</v>
      </c>
      <c r="H275" s="16" t="s">
        <v>52</v>
      </c>
      <c r="I275" s="16" t="s">
        <v>168</v>
      </c>
      <c r="J275" s="16" t="s">
        <v>169</v>
      </c>
      <c r="K275" s="16" t="s">
        <v>39</v>
      </c>
      <c r="L275" s="16" t="s">
        <v>40</v>
      </c>
      <c r="M275" s="16" t="s">
        <v>977</v>
      </c>
      <c r="N275" s="16" t="s">
        <v>42</v>
      </c>
      <c r="O275" s="16">
        <v>9</v>
      </c>
      <c r="P275" s="18">
        <v>2521.63</v>
      </c>
      <c r="Q275" s="19">
        <v>0</v>
      </c>
      <c r="R275" s="19">
        <v>0</v>
      </c>
      <c r="S275" s="18">
        <v>22694.67</v>
      </c>
      <c r="T275" s="18">
        <v>15405.36</v>
      </c>
      <c r="U275" s="18">
        <v>7289.31</v>
      </c>
      <c r="V275" s="16" t="s">
        <v>43</v>
      </c>
      <c r="W275" s="16" t="s">
        <v>122</v>
      </c>
      <c r="X275" s="18">
        <f>IF(OR(O275="",P275="",R275=""),"",O275*P275*(1-R275))</f>
        <v>22694.67</v>
      </c>
      <c r="Y275" s="18">
        <f>IF(OR(X275="",T275=""),"",X275-T275)</f>
        <v>7289.31</v>
      </c>
      <c r="Z275" s="19">
        <f>IFERROR(Y275/X275,"")</f>
        <v>0.3212</v>
      </c>
      <c r="AA275" s="16">
        <f>IF(OR(C275="",D275=""),"",D275-C275)</f>
        <v>0</v>
      </c>
      <c r="AB275" s="16">
        <f>IF(C275="","",MONTH(C275))</f>
        <v>2</v>
      </c>
      <c r="AC275" s="16">
        <f>IF(C275="","",YEAR(C275))</f>
        <v>2025</v>
      </c>
      <c r="AD275" s="16" t="s">
        <v>86</v>
      </c>
      <c r="AE275" s="16" t="s">
        <v>66</v>
      </c>
      <c r="AF275" s="16" t="s">
        <v>198</v>
      </c>
    </row>
    <row r="276" spans="1:32" s="15" customFormat="1" x14ac:dyDescent="0.25">
      <c r="A276" s="16">
        <v>276</v>
      </c>
      <c r="B276" s="16" t="s">
        <v>978</v>
      </c>
      <c r="C276" s="17">
        <v>45388.77083333333</v>
      </c>
      <c r="D276" s="17">
        <v>45395.77083333333</v>
      </c>
      <c r="E276" s="16" t="s">
        <v>979</v>
      </c>
      <c r="F276" s="16" t="s">
        <v>163</v>
      </c>
      <c r="G276" s="16" t="s">
        <v>35</v>
      </c>
      <c r="H276" s="16" t="s">
        <v>71</v>
      </c>
      <c r="I276" s="16" t="s">
        <v>211</v>
      </c>
      <c r="J276" s="16" t="s">
        <v>212</v>
      </c>
      <c r="K276" s="16" t="s">
        <v>93</v>
      </c>
      <c r="L276" s="16" t="s">
        <v>99</v>
      </c>
      <c r="M276" s="16" t="s">
        <v>980</v>
      </c>
      <c r="N276" s="16" t="s">
        <v>76</v>
      </c>
      <c r="O276" s="16">
        <v>6</v>
      </c>
      <c r="P276" s="18">
        <v>4246.71</v>
      </c>
      <c r="Q276" s="19">
        <v>0.15</v>
      </c>
      <c r="R276" s="19">
        <v>0.15</v>
      </c>
      <c r="S276" s="18">
        <v>21658.22</v>
      </c>
      <c r="T276" s="18">
        <v>15490.69</v>
      </c>
      <c r="U276" s="18">
        <v>6167.53</v>
      </c>
      <c r="V276" s="16" t="s">
        <v>178</v>
      </c>
      <c r="W276" s="16" t="s">
        <v>122</v>
      </c>
      <c r="X276" s="18">
        <f>IF(OR(O276="",P276="",R276=""),"",O276*P276*(1-R276))</f>
        <v>21658.22</v>
      </c>
      <c r="Y276" s="18">
        <f>IF(OR(X276="",T276=""),"",X276-T276)</f>
        <v>6167.53</v>
      </c>
      <c r="Z276" s="19">
        <f>IFERROR(Y276/X276,"")</f>
        <v>0.2848</v>
      </c>
      <c r="AA276" s="16">
        <f>IF(OR(C276="",D276=""),"",D276-C276)</f>
        <v>7</v>
      </c>
      <c r="AB276" s="16">
        <f>IF(C276="","",MONTH(C276))</f>
        <v>4</v>
      </c>
      <c r="AC276" s="16">
        <f>IF(C276="","",YEAR(C276))</f>
        <v>2024</v>
      </c>
      <c r="AD276" s="16" t="s">
        <v>86</v>
      </c>
      <c r="AE276" s="16" t="s">
        <v>66</v>
      </c>
      <c r="AF276" s="16" t="s">
        <v>179</v>
      </c>
    </row>
    <row r="277" spans="1:32" x14ac:dyDescent="0.25">
      <c r="A277" s="1">
        <v>277</v>
      </c>
      <c r="B277" s="1" t="s">
        <v>981</v>
      </c>
      <c r="C277" s="2">
        <v>45336.77083333333</v>
      </c>
      <c r="D277" s="2">
        <v>45343.77083333333</v>
      </c>
      <c r="E277" s="1" t="s">
        <v>982</v>
      </c>
      <c r="F277" s="1" t="s">
        <v>135</v>
      </c>
      <c r="G277" s="1" t="s">
        <v>51</v>
      </c>
      <c r="H277" s="1" t="s">
        <v>52</v>
      </c>
      <c r="I277" s="1" t="s">
        <v>118</v>
      </c>
      <c r="J277" s="1" t="s">
        <v>119</v>
      </c>
      <c r="K277" s="1" t="s">
        <v>55</v>
      </c>
      <c r="L277" s="1" t="s">
        <v>74</v>
      </c>
      <c r="M277" s="1" t="s">
        <v>983</v>
      </c>
      <c r="N277" s="1" t="s">
        <v>58</v>
      </c>
      <c r="O277" s="1">
        <v>1</v>
      </c>
      <c r="P277" s="3">
        <v>980.51</v>
      </c>
      <c r="Q277" s="4">
        <v>0</v>
      </c>
      <c r="R277" s="4">
        <v>0</v>
      </c>
      <c r="S277" s="3">
        <v>980.51</v>
      </c>
      <c r="T277" s="3">
        <v>660.92</v>
      </c>
      <c r="U277" s="3">
        <v>319.59</v>
      </c>
      <c r="V277" s="1" t="s">
        <v>43</v>
      </c>
      <c r="W277" s="1" t="s">
        <v>44</v>
      </c>
      <c r="X277" s="3">
        <f>IF(OR(O277="",P277="",R277=""),"",O277*P277*(1-R277))</f>
        <v>980.51</v>
      </c>
      <c r="Y277" s="3">
        <f>IF(OR(X277="",T277=""),"",X277-T277)</f>
        <v>319.59</v>
      </c>
      <c r="Z277" s="4">
        <f>IFERROR(Y277/X277,"")</f>
        <v>0.3259</v>
      </c>
      <c r="AA277" s="1">
        <f>IF(OR(C277="",D277=""),"",D277-C277)</f>
        <v>7</v>
      </c>
      <c r="AB277" s="1">
        <f>IF(C277="","",MONTH(C277))</f>
        <v>2</v>
      </c>
      <c r="AC277" s="1">
        <f>IF(C277="","",YEAR(C277))</f>
        <v>2024</v>
      </c>
      <c r="AD277" s="1" t="s">
        <v>45</v>
      </c>
      <c r="AE277" s="1" t="s">
        <v>46</v>
      </c>
      <c r="AF277" s="1" t="s">
        <v>47</v>
      </c>
    </row>
    <row r="278" spans="1:32" s="10" customFormat="1" x14ac:dyDescent="0.25">
      <c r="A278" s="11">
        <v>278</v>
      </c>
      <c r="B278" s="11" t="s">
        <v>984</v>
      </c>
      <c r="C278" s="12">
        <v>45312.77083333333</v>
      </c>
      <c r="D278" s="12">
        <v>45313.77083333333</v>
      </c>
      <c r="E278" s="11" t="s">
        <v>985</v>
      </c>
      <c r="F278" s="11" t="s">
        <v>149</v>
      </c>
      <c r="G278" s="11" t="s">
        <v>51</v>
      </c>
      <c r="H278" s="11" t="s">
        <v>232</v>
      </c>
      <c r="I278" s="11" t="s">
        <v>191</v>
      </c>
      <c r="J278" s="11" t="s">
        <v>192</v>
      </c>
      <c r="K278" s="11" t="s">
        <v>55</v>
      </c>
      <c r="L278" s="11" t="s">
        <v>83</v>
      </c>
      <c r="M278" s="11" t="s">
        <v>986</v>
      </c>
      <c r="N278" s="11" t="s">
        <v>42</v>
      </c>
      <c r="O278" s="11">
        <v>6</v>
      </c>
      <c r="P278" s="13">
        <v>3391.53</v>
      </c>
      <c r="Q278" s="14">
        <v>-0.14</v>
      </c>
      <c r="R278" s="14">
        <v>-0.14</v>
      </c>
      <c r="S278" s="13">
        <v>15261.89</v>
      </c>
      <c r="T278" s="13">
        <v>8413.53</v>
      </c>
      <c r="U278" s="13">
        <v>6848.36</v>
      </c>
      <c r="V278" s="11" t="s">
        <v>43</v>
      </c>
      <c r="W278" s="11" t="s">
        <v>44</v>
      </c>
      <c r="X278" s="13">
        <f>IF(OR(O278="",P278="",R278=""),"",O278*P278*(1-R278))</f>
        <v>23198.07</v>
      </c>
      <c r="Y278" s="13">
        <f>IF(OR(X278="",T278=""),"",X278-T278)</f>
        <v>14784.54</v>
      </c>
      <c r="Z278" s="14">
        <f>IFERROR(Y278/X278,"")</f>
        <v>0.6373</v>
      </c>
      <c r="AA278" s="11">
        <f>IF(OR(C278="",D278=""),"",D278-C278)</f>
        <v>1</v>
      </c>
      <c r="AB278" s="11">
        <f>IF(C278="","",MONTH(C278))</f>
        <v>1</v>
      </c>
      <c r="AC278" s="11">
        <f>IF(C278="","",YEAR(C278))</f>
        <v>2024</v>
      </c>
      <c r="AD278" s="11" t="s">
        <v>65</v>
      </c>
      <c r="AE278" s="11" t="s">
        <v>66</v>
      </c>
      <c r="AF278" s="11" t="s">
        <v>987</v>
      </c>
    </row>
    <row r="279" spans="1:32" s="10" customFormat="1" x14ac:dyDescent="0.25">
      <c r="A279" s="11">
        <v>279</v>
      </c>
      <c r="B279" s="11" t="s">
        <v>988</v>
      </c>
      <c r="C279" s="12">
        <v>45811.77083333333</v>
      </c>
      <c r="D279" s="12">
        <v>45811.77083333333</v>
      </c>
      <c r="E279" s="11" t="s">
        <v>837</v>
      </c>
      <c r="F279" s="11" t="s">
        <v>61</v>
      </c>
      <c r="G279" s="11" t="s">
        <v>109</v>
      </c>
      <c r="H279" s="11" t="s">
        <v>36</v>
      </c>
      <c r="I279" s="11" t="s">
        <v>266</v>
      </c>
      <c r="J279" s="11" t="s">
        <v>267</v>
      </c>
      <c r="K279" s="11" t="s">
        <v>93</v>
      </c>
      <c r="L279" s="11" t="s">
        <v>94</v>
      </c>
      <c r="M279" s="11" t="s">
        <v>989</v>
      </c>
      <c r="N279" s="11" t="s">
        <v>42</v>
      </c>
      <c r="O279" s="11">
        <v>1</v>
      </c>
      <c r="P279" s="13">
        <v>2133.73</v>
      </c>
      <c r="Q279" s="14">
        <v>0.15</v>
      </c>
      <c r="R279" s="14">
        <v>0.15</v>
      </c>
      <c r="S279" s="13">
        <v>2008.39</v>
      </c>
      <c r="T279" s="13">
        <v>1002.57</v>
      </c>
      <c r="U279" s="13">
        <v>811.1</v>
      </c>
      <c r="V279" s="11" t="s">
        <v>131</v>
      </c>
      <c r="W279" s="11" t="s">
        <v>85</v>
      </c>
      <c r="X279" s="13">
        <f>IF(OR(O279="",P279="",R279=""),"",O279*P279*(1-R279))</f>
        <v>1813.67</v>
      </c>
      <c r="Y279" s="13">
        <f>IF(OR(X279="",T279=""),"",X279-T279)</f>
        <v>811.1</v>
      </c>
      <c r="Z279" s="14">
        <f>IFERROR(Y279/X279,"")</f>
        <v>0.4472</v>
      </c>
      <c r="AA279" s="11">
        <f>IF(OR(C279="",D279=""),"",D279-C279)</f>
        <v>0</v>
      </c>
      <c r="AB279" s="11">
        <f>IF(C279="","",MONTH(C279))</f>
        <v>6</v>
      </c>
      <c r="AC279" s="11">
        <f>IF(C279="","",YEAR(C279))</f>
        <v>2025</v>
      </c>
      <c r="AD279" s="11" t="s">
        <v>65</v>
      </c>
      <c r="AE279" s="11" t="s">
        <v>66</v>
      </c>
      <c r="AF279" s="11" t="s">
        <v>990</v>
      </c>
    </row>
    <row r="280" spans="1:32" s="15" customFormat="1" x14ac:dyDescent="0.25">
      <c r="A280" s="16">
        <v>280</v>
      </c>
      <c r="B280" s="16" t="s">
        <v>991</v>
      </c>
      <c r="C280" s="17">
        <v>45722.77083333333</v>
      </c>
      <c r="D280" s="17">
        <v>45729.77083333333</v>
      </c>
      <c r="E280" s="16" t="s">
        <v>992</v>
      </c>
      <c r="F280" s="16" t="s">
        <v>135</v>
      </c>
      <c r="G280" s="16" t="s">
        <v>51</v>
      </c>
      <c r="H280" s="16" t="s">
        <v>36</v>
      </c>
      <c r="I280" s="16" t="s">
        <v>384</v>
      </c>
      <c r="J280" s="16" t="s">
        <v>385</v>
      </c>
      <c r="K280" s="16" t="s">
        <v>93</v>
      </c>
      <c r="L280" s="16" t="s">
        <v>94</v>
      </c>
      <c r="M280" s="16" t="s">
        <v>993</v>
      </c>
      <c r="N280" s="16" t="s">
        <v>58</v>
      </c>
      <c r="O280" s="16">
        <v>1</v>
      </c>
      <c r="P280" s="18">
        <v>3979.64</v>
      </c>
      <c r="Q280" s="19">
        <v>0.05</v>
      </c>
      <c r="R280" s="19">
        <v>0.05</v>
      </c>
      <c r="S280" s="18">
        <v>3780.66</v>
      </c>
      <c r="T280" s="18">
        <v>2148.31</v>
      </c>
      <c r="U280" s="18">
        <v>1632.35</v>
      </c>
      <c r="V280" s="16" t="s">
        <v>43</v>
      </c>
      <c r="W280" s="16" t="s">
        <v>122</v>
      </c>
      <c r="X280" s="18">
        <f>IF(OR(O280="",P280="",R280=""),"",O280*P280*(1-R280))</f>
        <v>3780.66</v>
      </c>
      <c r="Y280" s="18">
        <f>IF(OR(X280="",T280=""),"",X280-T280)</f>
        <v>1632.35</v>
      </c>
      <c r="Z280" s="19">
        <f>IFERROR(Y280/X280,"")</f>
        <v>0.4318</v>
      </c>
      <c r="AA280" s="16">
        <f>IF(OR(C280="",D280=""),"",D280-C280)</f>
        <v>7</v>
      </c>
      <c r="AB280" s="16">
        <f>IF(C280="","",MONTH(C280))</f>
        <v>3</v>
      </c>
      <c r="AC280" s="16">
        <f>IF(C280="","",YEAR(C280))</f>
        <v>2025</v>
      </c>
      <c r="AD280" s="16" t="s">
        <v>86</v>
      </c>
      <c r="AE280" s="16" t="s">
        <v>66</v>
      </c>
      <c r="AF280" s="16" t="s">
        <v>198</v>
      </c>
    </row>
    <row r="281" spans="1:32" x14ac:dyDescent="0.25">
      <c r="A281" s="1">
        <v>281</v>
      </c>
      <c r="B281" s="1" t="s">
        <v>994</v>
      </c>
      <c r="C281" s="2">
        <v>45390.77083333333</v>
      </c>
      <c r="D281" s="2">
        <v>45391.77083333333</v>
      </c>
      <c r="E281" s="1" t="s">
        <v>995</v>
      </c>
      <c r="F281" s="1" t="s">
        <v>163</v>
      </c>
      <c r="G281" s="1" t="s">
        <v>51</v>
      </c>
      <c r="H281" s="1" t="s">
        <v>80</v>
      </c>
      <c r="I281" s="1" t="s">
        <v>81</v>
      </c>
      <c r="J281" s="1" t="s">
        <v>82</v>
      </c>
      <c r="K281" s="1" t="s">
        <v>39</v>
      </c>
      <c r="L281" s="1" t="s">
        <v>145</v>
      </c>
      <c r="M281" s="1" t="s">
        <v>996</v>
      </c>
      <c r="N281" s="1" t="s">
        <v>64</v>
      </c>
      <c r="O281" s="1">
        <v>1</v>
      </c>
      <c r="P281" s="3">
        <v>4359.12</v>
      </c>
      <c r="Q281" s="4">
        <v>0.05</v>
      </c>
      <c r="R281" s="4">
        <v>0.05</v>
      </c>
      <c r="S281" s="3">
        <v>4141.16</v>
      </c>
      <c r="T281" s="3">
        <v>2754.17</v>
      </c>
      <c r="U281" s="3">
        <v>1386.99</v>
      </c>
      <c r="V281" s="1" t="s">
        <v>43</v>
      </c>
      <c r="W281" s="1" t="s">
        <v>44</v>
      </c>
      <c r="X281" s="3">
        <f>IF(OR(O281="",P281="",R281=""),"",O281*P281*(1-R281))</f>
        <v>4141.16</v>
      </c>
      <c r="Y281" s="3">
        <f>IF(OR(X281="",T281=""),"",X281-T281)</f>
        <v>1386.99</v>
      </c>
      <c r="Z281" s="4">
        <f>IFERROR(Y281/X281,"")</f>
        <v>0.3349</v>
      </c>
      <c r="AA281" s="1">
        <f>IF(OR(C281="",D281=""),"",D281-C281)</f>
        <v>1</v>
      </c>
      <c r="AB281" s="1">
        <f>IF(C281="","",MONTH(C281))</f>
        <v>4</v>
      </c>
      <c r="AC281" s="1">
        <f>IF(C281="","",YEAR(C281))</f>
        <v>2024</v>
      </c>
      <c r="AD281" s="1" t="s">
        <v>45</v>
      </c>
      <c r="AE281" s="1" t="s">
        <v>46</v>
      </c>
      <c r="AF281" s="1" t="s">
        <v>47</v>
      </c>
    </row>
    <row r="282" spans="1:32" x14ac:dyDescent="0.25">
      <c r="A282" s="1">
        <v>282</v>
      </c>
      <c r="B282" s="1" t="s">
        <v>997</v>
      </c>
      <c r="C282" s="2">
        <v>45648.77083333333</v>
      </c>
      <c r="D282" s="2">
        <v>45651.77083333333</v>
      </c>
      <c r="E282" s="1" t="s">
        <v>998</v>
      </c>
      <c r="F282" s="1" t="s">
        <v>108</v>
      </c>
      <c r="G282" s="1" t="s">
        <v>35</v>
      </c>
      <c r="H282" s="1" t="s">
        <v>71</v>
      </c>
      <c r="I282" s="1" t="s">
        <v>201</v>
      </c>
      <c r="J282" s="1" t="s">
        <v>202</v>
      </c>
      <c r="K282" s="1" t="s">
        <v>93</v>
      </c>
      <c r="L282" s="1" t="s">
        <v>99</v>
      </c>
      <c r="M282" s="1" t="s">
        <v>999</v>
      </c>
      <c r="N282" s="1" t="s">
        <v>76</v>
      </c>
      <c r="O282" s="1">
        <v>9</v>
      </c>
      <c r="P282" s="3">
        <v>993.67</v>
      </c>
      <c r="Q282" s="4">
        <v>0</v>
      </c>
      <c r="R282" s="4">
        <v>0</v>
      </c>
      <c r="S282" s="3">
        <v>8943.03</v>
      </c>
      <c r="T282" s="3">
        <v>5165.38</v>
      </c>
      <c r="U282" s="3">
        <v>3777.65</v>
      </c>
      <c r="V282" s="1" t="s">
        <v>43</v>
      </c>
      <c r="W282" s="1" t="s">
        <v>44</v>
      </c>
      <c r="X282" s="3">
        <f>IF(OR(O282="",P282="",R282=""),"",O282*P282*(1-R282))</f>
        <v>8943.03</v>
      </c>
      <c r="Y282" s="3">
        <f>IF(OR(X282="",T282=""),"",X282-T282)</f>
        <v>3777.65</v>
      </c>
      <c r="Z282" s="4">
        <f>IFERROR(Y282/X282,"")</f>
        <v>0.4224</v>
      </c>
      <c r="AA282" s="1">
        <f>IF(OR(C282="",D282=""),"",D282-C282)</f>
        <v>3</v>
      </c>
      <c r="AB282" s="1">
        <f>IF(C282="","",MONTH(C282))</f>
        <v>12</v>
      </c>
      <c r="AC282" s="1">
        <f>IF(C282="","",YEAR(C282))</f>
        <v>2024</v>
      </c>
      <c r="AD282" s="1" t="s">
        <v>45</v>
      </c>
      <c r="AE282" s="1" t="s">
        <v>46</v>
      </c>
      <c r="AF282" s="1" t="s">
        <v>47</v>
      </c>
    </row>
    <row r="283" spans="1:32" x14ac:dyDescent="0.25">
      <c r="A283" s="1">
        <v>283</v>
      </c>
      <c r="B283" s="1" t="s">
        <v>1000</v>
      </c>
      <c r="C283" s="2">
        <v>45862.77083333333</v>
      </c>
      <c r="D283" s="2">
        <v>45864.77083333333</v>
      </c>
      <c r="E283" s="1" t="s">
        <v>1001</v>
      </c>
      <c r="F283" s="1" t="s">
        <v>294</v>
      </c>
      <c r="G283" s="1" t="s">
        <v>35</v>
      </c>
      <c r="H283" s="1" t="s">
        <v>52</v>
      </c>
      <c r="I283" s="1" t="s">
        <v>258</v>
      </c>
      <c r="J283" s="1" t="s">
        <v>259</v>
      </c>
      <c r="K283" s="1" t="s">
        <v>39</v>
      </c>
      <c r="L283" s="1" t="s">
        <v>176</v>
      </c>
      <c r="M283" s="1" t="s">
        <v>1002</v>
      </c>
      <c r="N283" s="1" t="s">
        <v>42</v>
      </c>
      <c r="O283" s="1">
        <v>6</v>
      </c>
      <c r="P283" s="3">
        <v>3438.38</v>
      </c>
      <c r="Q283" s="4">
        <v>0.2</v>
      </c>
      <c r="R283" s="4">
        <v>0.2</v>
      </c>
      <c r="S283" s="3">
        <v>16504.22</v>
      </c>
      <c r="T283" s="3">
        <v>11262.71</v>
      </c>
      <c r="U283" s="3">
        <v>5241.51</v>
      </c>
      <c r="V283" s="1" t="s">
        <v>43</v>
      </c>
      <c r="W283" s="1" t="s">
        <v>44</v>
      </c>
      <c r="X283" s="3">
        <f>IF(OR(O283="",P283="",R283=""),"",O283*P283*(1-R283))</f>
        <v>16504.22</v>
      </c>
      <c r="Y283" s="3">
        <f>IF(OR(X283="",T283=""),"",X283-T283)</f>
        <v>5241.51</v>
      </c>
      <c r="Z283" s="4">
        <f>IFERROR(Y283/X283,"")</f>
        <v>0.3176</v>
      </c>
      <c r="AA283" s="1">
        <f>IF(OR(C283="",D283=""),"",D283-C283)</f>
        <v>2</v>
      </c>
      <c r="AB283" s="1">
        <f>IF(C283="","",MONTH(C283))</f>
        <v>7</v>
      </c>
      <c r="AC283" s="1">
        <f>IF(C283="","",YEAR(C283))</f>
        <v>2025</v>
      </c>
      <c r="AD283" s="1" t="s">
        <v>45</v>
      </c>
      <c r="AE283" s="1" t="s">
        <v>46</v>
      </c>
      <c r="AF283" s="1" t="s">
        <v>47</v>
      </c>
    </row>
    <row r="284" spans="1:32" x14ac:dyDescent="0.25">
      <c r="A284" s="1">
        <v>284</v>
      </c>
      <c r="B284" s="1" t="s">
        <v>1003</v>
      </c>
      <c r="C284" s="2">
        <v>45565.77083333333</v>
      </c>
      <c r="D284" s="2">
        <v>45566.77083333333</v>
      </c>
      <c r="E284" s="1" t="s">
        <v>1004</v>
      </c>
      <c r="F284" s="1" t="s">
        <v>34</v>
      </c>
      <c r="G284" s="1" t="s">
        <v>114</v>
      </c>
      <c r="H284" s="1" t="s">
        <v>52</v>
      </c>
      <c r="I284" s="1" t="s">
        <v>191</v>
      </c>
      <c r="J284" s="1" t="s">
        <v>192</v>
      </c>
      <c r="K284" s="1" t="s">
        <v>55</v>
      </c>
      <c r="L284" s="1" t="s">
        <v>56</v>
      </c>
      <c r="M284" s="1" t="s">
        <v>1005</v>
      </c>
      <c r="N284" s="1" t="s">
        <v>42</v>
      </c>
      <c r="O284" s="1">
        <v>2</v>
      </c>
      <c r="P284" s="3">
        <v>2298</v>
      </c>
      <c r="Q284" s="4">
        <v>0</v>
      </c>
      <c r="R284" s="4">
        <v>0</v>
      </c>
      <c r="S284" s="3">
        <v>4596</v>
      </c>
      <c r="T284" s="3">
        <v>3220.33</v>
      </c>
      <c r="U284" s="3">
        <v>1375.67</v>
      </c>
      <c r="V284" s="1" t="s">
        <v>43</v>
      </c>
      <c r="W284" s="1" t="s">
        <v>44</v>
      </c>
      <c r="X284" s="3">
        <f>IF(OR(O284="",P284="",R284=""),"",O284*P284*(1-R284))</f>
        <v>4596</v>
      </c>
      <c r="Y284" s="3">
        <f>IF(OR(X284="",T284=""),"",X284-T284)</f>
        <v>1375.67</v>
      </c>
      <c r="Z284" s="4">
        <f>IFERROR(Y284/X284,"")</f>
        <v>0.2993</v>
      </c>
      <c r="AA284" s="1">
        <f>IF(OR(C284="",D284=""),"",D284-C284)</f>
        <v>1</v>
      </c>
      <c r="AB284" s="1">
        <f>IF(C284="","",MONTH(C284))</f>
        <v>10</v>
      </c>
      <c r="AC284" s="1">
        <f>IF(C284="","",YEAR(C284))</f>
        <v>2024</v>
      </c>
      <c r="AD284" s="1" t="s">
        <v>45</v>
      </c>
      <c r="AE284" s="1" t="s">
        <v>46</v>
      </c>
      <c r="AF284" s="1" t="s">
        <v>47</v>
      </c>
    </row>
    <row r="285" spans="1:32" x14ac:dyDescent="0.25">
      <c r="A285" s="1">
        <v>285</v>
      </c>
      <c r="B285" s="1" t="s">
        <v>1006</v>
      </c>
      <c r="C285" s="2">
        <v>45728.77083333333</v>
      </c>
      <c r="D285" s="2">
        <v>45735.77083333333</v>
      </c>
      <c r="E285" s="1" t="s">
        <v>1007</v>
      </c>
      <c r="F285" s="1" t="s">
        <v>90</v>
      </c>
      <c r="G285" s="1" t="s">
        <v>35</v>
      </c>
      <c r="H285" s="1" t="s">
        <v>80</v>
      </c>
      <c r="I285" s="1" t="s">
        <v>81</v>
      </c>
      <c r="J285" s="1" t="s">
        <v>82</v>
      </c>
      <c r="K285" s="1" t="s">
        <v>55</v>
      </c>
      <c r="L285" s="1" t="s">
        <v>74</v>
      </c>
      <c r="M285" s="1" t="s">
        <v>1008</v>
      </c>
      <c r="N285" s="1" t="s">
        <v>64</v>
      </c>
      <c r="O285" s="1">
        <v>1</v>
      </c>
      <c r="P285" s="3">
        <v>1814.01</v>
      </c>
      <c r="Q285" s="4">
        <v>0</v>
      </c>
      <c r="R285" s="4">
        <v>0</v>
      </c>
      <c r="S285" s="3">
        <v>1814.01</v>
      </c>
      <c r="T285" s="3">
        <v>1033.47</v>
      </c>
      <c r="U285" s="3">
        <v>780.54</v>
      </c>
      <c r="V285" s="1" t="s">
        <v>43</v>
      </c>
      <c r="W285" s="1" t="s">
        <v>44</v>
      </c>
      <c r="X285" s="3">
        <f>IF(OR(O285="",P285="",R285=""),"",O285*P285*(1-R285))</f>
        <v>1814.01</v>
      </c>
      <c r="Y285" s="3">
        <f>IF(OR(X285="",T285=""),"",X285-T285)</f>
        <v>780.54</v>
      </c>
      <c r="Z285" s="4">
        <f>IFERROR(Y285/X285,"")</f>
        <v>0.4303</v>
      </c>
      <c r="AA285" s="1">
        <f>IF(OR(C285="",D285=""),"",D285-C285)</f>
        <v>7</v>
      </c>
      <c r="AB285" s="1">
        <f>IF(C285="","",MONTH(C285))</f>
        <v>3</v>
      </c>
      <c r="AC285" s="1">
        <f>IF(C285="","",YEAR(C285))</f>
        <v>2025</v>
      </c>
      <c r="AD285" s="1" t="s">
        <v>45</v>
      </c>
      <c r="AE285" s="1" t="s">
        <v>46</v>
      </c>
      <c r="AF285" s="1" t="s">
        <v>47</v>
      </c>
    </row>
    <row r="286" spans="1:32" s="15" customFormat="1" x14ac:dyDescent="0.25">
      <c r="A286" s="16">
        <v>286</v>
      </c>
      <c r="B286" s="16" t="s">
        <v>1009</v>
      </c>
      <c r="C286" s="17">
        <v>45633.77083333333</v>
      </c>
      <c r="D286" s="17">
        <v>45639.77083333333</v>
      </c>
      <c r="E286" s="16" t="s">
        <v>1010</v>
      </c>
      <c r="F286" s="16" t="s">
        <v>34</v>
      </c>
      <c r="G286" s="16" t="s">
        <v>35</v>
      </c>
      <c r="H286" s="16" t="s">
        <v>52</v>
      </c>
      <c r="I286" s="16" t="s">
        <v>53</v>
      </c>
      <c r="J286" s="16" t="s">
        <v>54</v>
      </c>
      <c r="K286" s="16" t="s">
        <v>55</v>
      </c>
      <c r="L286" s="16" t="s">
        <v>56</v>
      </c>
      <c r="M286" s="16" t="s">
        <v>1011</v>
      </c>
      <c r="N286" s="16" t="s">
        <v>58</v>
      </c>
      <c r="O286" s="16">
        <v>3</v>
      </c>
      <c r="P286" s="18">
        <v>1576.92</v>
      </c>
      <c r="Q286" s="19">
        <v>0</v>
      </c>
      <c r="R286" s="19">
        <v>0</v>
      </c>
      <c r="S286" s="18">
        <v>4730.76</v>
      </c>
      <c r="T286" s="18">
        <v>3139.73</v>
      </c>
      <c r="U286" s="18">
        <v>1591.03</v>
      </c>
      <c r="V286" s="16" t="s">
        <v>43</v>
      </c>
      <c r="W286" s="16" t="s">
        <v>122</v>
      </c>
      <c r="X286" s="18">
        <f>IF(OR(O286="",P286="",R286=""),"",O286*P286*(1-R286))</f>
        <v>4730.76</v>
      </c>
      <c r="Y286" s="18">
        <f>IF(OR(X286="",T286=""),"",X286-T286)</f>
        <v>1591.03</v>
      </c>
      <c r="Z286" s="19">
        <f>IFERROR(Y286/X286,"")</f>
        <v>0.3363</v>
      </c>
      <c r="AA286" s="16">
        <f>IF(OR(C286="",D286=""),"",D286-C286)</f>
        <v>6</v>
      </c>
      <c r="AB286" s="16">
        <f>IF(C286="","",MONTH(C286))</f>
        <v>12</v>
      </c>
      <c r="AC286" s="16">
        <f>IF(C286="","",YEAR(C286))</f>
        <v>2024</v>
      </c>
      <c r="AD286" s="16" t="s">
        <v>86</v>
      </c>
      <c r="AE286" s="16" t="s">
        <v>66</v>
      </c>
      <c r="AF286" s="16" t="s">
        <v>198</v>
      </c>
    </row>
    <row r="287" spans="1:32" x14ac:dyDescent="0.25">
      <c r="A287" s="1">
        <v>287</v>
      </c>
      <c r="B287" s="1" t="s">
        <v>1012</v>
      </c>
      <c r="C287" s="2">
        <v>45883.77083333333</v>
      </c>
      <c r="D287" s="2">
        <v>45888.77083333333</v>
      </c>
      <c r="E287" s="1" t="s">
        <v>1013</v>
      </c>
      <c r="F287" s="1" t="s">
        <v>98</v>
      </c>
      <c r="G287" s="1" t="s">
        <v>114</v>
      </c>
      <c r="H287" s="1" t="s">
        <v>36</v>
      </c>
      <c r="I287" s="1" t="s">
        <v>37</v>
      </c>
      <c r="J287" s="1" t="s">
        <v>38</v>
      </c>
      <c r="K287" s="1" t="s">
        <v>39</v>
      </c>
      <c r="L287" s="1" t="s">
        <v>145</v>
      </c>
      <c r="M287" s="1" t="s">
        <v>1014</v>
      </c>
      <c r="N287" s="1" t="s">
        <v>76</v>
      </c>
      <c r="O287" s="1">
        <v>9</v>
      </c>
      <c r="P287" s="3">
        <v>4081.77</v>
      </c>
      <c r="Q287" s="4">
        <v>0</v>
      </c>
      <c r="R287" s="4">
        <v>0</v>
      </c>
      <c r="S287" s="3">
        <v>36735.93</v>
      </c>
      <c r="T287" s="3">
        <v>30820.84</v>
      </c>
      <c r="U287" s="3">
        <v>5915.09</v>
      </c>
      <c r="V287" s="1" t="s">
        <v>43</v>
      </c>
      <c r="W287" s="1" t="s">
        <v>44</v>
      </c>
      <c r="X287" s="3">
        <f>IF(OR(O287="",P287="",R287=""),"",O287*P287*(1-R287))</f>
        <v>36735.93</v>
      </c>
      <c r="Y287" s="3">
        <f>IF(OR(X287="",T287=""),"",X287-T287)</f>
        <v>5915.09</v>
      </c>
      <c r="Z287" s="4">
        <f>IFERROR(Y287/X287,"")</f>
        <v>0.161</v>
      </c>
      <c r="AA287" s="1">
        <f>IF(OR(C287="",D287=""),"",D287-C287)</f>
        <v>5</v>
      </c>
      <c r="AB287" s="1">
        <f>IF(C287="","",MONTH(C287))</f>
        <v>8</v>
      </c>
      <c r="AC287" s="1">
        <f>IF(C287="","",YEAR(C287))</f>
        <v>2025</v>
      </c>
      <c r="AD287" s="1" t="s">
        <v>45</v>
      </c>
      <c r="AE287" s="1" t="s">
        <v>46</v>
      </c>
      <c r="AF287" s="1" t="s">
        <v>47</v>
      </c>
    </row>
    <row r="288" spans="1:32" s="15" customFormat="1" x14ac:dyDescent="0.25">
      <c r="A288" s="16">
        <v>288</v>
      </c>
      <c r="B288" s="16" t="s">
        <v>1015</v>
      </c>
      <c r="C288" s="17">
        <v>45349.77083333333</v>
      </c>
      <c r="D288" s="17">
        <v>45352.77083333333</v>
      </c>
      <c r="E288" s="16" t="s">
        <v>1016</v>
      </c>
      <c r="F288" s="16" t="s">
        <v>135</v>
      </c>
      <c r="G288" s="16" t="s">
        <v>51</v>
      </c>
      <c r="H288" s="16" t="s">
        <v>36</v>
      </c>
      <c r="I288" s="16" t="s">
        <v>384</v>
      </c>
      <c r="J288" s="16" t="s">
        <v>385</v>
      </c>
      <c r="K288" s="16" t="s">
        <v>55</v>
      </c>
      <c r="L288" s="16" t="s">
        <v>74</v>
      </c>
      <c r="M288" s="16" t="s">
        <v>1017</v>
      </c>
      <c r="N288" s="16" t="s">
        <v>64</v>
      </c>
      <c r="O288" s="16">
        <v>7</v>
      </c>
      <c r="P288" s="18">
        <v>701.8</v>
      </c>
      <c r="Q288" s="19">
        <v>0.1</v>
      </c>
      <c r="R288" s="19">
        <v>0.1</v>
      </c>
      <c r="S288" s="18">
        <v>4421.34</v>
      </c>
      <c r="T288" s="18">
        <v>2489.98</v>
      </c>
      <c r="U288" s="18">
        <v>1931.36</v>
      </c>
      <c r="V288" s="16" t="s">
        <v>131</v>
      </c>
      <c r="W288" s="16" t="s">
        <v>122</v>
      </c>
      <c r="X288" s="18">
        <f>IF(OR(O288="",P288="",R288=""),"",O288*P288*(1-R288))</f>
        <v>4421.34</v>
      </c>
      <c r="Y288" s="18">
        <f>IF(OR(X288="",T288=""),"",X288-T288)</f>
        <v>1931.36</v>
      </c>
      <c r="Z288" s="19">
        <f>IFERROR(Y288/X288,"")</f>
        <v>0.4368</v>
      </c>
      <c r="AA288" s="16">
        <f>IF(OR(C288="",D288=""),"",D288-C288)</f>
        <v>3</v>
      </c>
      <c r="AB288" s="16">
        <f>IF(C288="","",MONTH(C288))</f>
        <v>2</v>
      </c>
      <c r="AC288" s="16">
        <f>IF(C288="","",YEAR(C288))</f>
        <v>2024</v>
      </c>
      <c r="AD288" s="16" t="s">
        <v>86</v>
      </c>
      <c r="AE288" s="16" t="s">
        <v>66</v>
      </c>
      <c r="AF288" s="16" t="s">
        <v>132</v>
      </c>
    </row>
    <row r="289" spans="1:32" s="15" customFormat="1" x14ac:dyDescent="0.25">
      <c r="A289" s="16">
        <v>289</v>
      </c>
      <c r="B289" s="16" t="s">
        <v>1018</v>
      </c>
      <c r="C289" s="17">
        <v>45539.77083333333</v>
      </c>
      <c r="D289" s="17">
        <v>45541.77083333333</v>
      </c>
      <c r="E289" s="16" t="s">
        <v>1019</v>
      </c>
      <c r="F289" s="16" t="s">
        <v>98</v>
      </c>
      <c r="G289" s="16" t="s">
        <v>51</v>
      </c>
      <c r="H289" s="16" t="s">
        <v>71</v>
      </c>
      <c r="I289" s="16" t="s">
        <v>277</v>
      </c>
      <c r="J289" s="16" t="s">
        <v>278</v>
      </c>
      <c r="K289" s="16" t="s">
        <v>93</v>
      </c>
      <c r="L289" s="16" t="s">
        <v>99</v>
      </c>
      <c r="M289" s="16" t="s">
        <v>1020</v>
      </c>
      <c r="N289" s="16" t="s">
        <v>76</v>
      </c>
      <c r="O289" s="16">
        <v>3</v>
      </c>
      <c r="P289" s="18">
        <v>2555.66</v>
      </c>
      <c r="Q289" s="19">
        <v>0.15</v>
      </c>
      <c r="R289" s="19">
        <v>0.15</v>
      </c>
      <c r="S289" s="18">
        <v>6516.93</v>
      </c>
      <c r="T289" s="18">
        <v>4511.54</v>
      </c>
      <c r="U289" s="18">
        <v>2005.39</v>
      </c>
      <c r="V289" s="16" t="s">
        <v>43</v>
      </c>
      <c r="W289" s="16" t="s">
        <v>85</v>
      </c>
      <c r="X289" s="18">
        <f>IF(OR(O289="",P289="",R289=""),"",O289*P289*(1-R289))</f>
        <v>6516.93</v>
      </c>
      <c r="Y289" s="18">
        <f>IF(OR(X289="",T289=""),"",X289-T289)</f>
        <v>2005.39</v>
      </c>
      <c r="Z289" s="19">
        <f>IFERROR(Y289/X289,"")</f>
        <v>0.3077</v>
      </c>
      <c r="AA289" s="16">
        <f>IF(OR(C289="",D289=""),"",D289-C289)</f>
        <v>2</v>
      </c>
      <c r="AB289" s="16">
        <f>IF(C289="","",MONTH(C289))</f>
        <v>9</v>
      </c>
      <c r="AC289" s="16">
        <f>IF(C289="","",YEAR(C289))</f>
        <v>2024</v>
      </c>
      <c r="AD289" s="16" t="s">
        <v>86</v>
      </c>
      <c r="AE289" s="16" t="s">
        <v>66</v>
      </c>
      <c r="AF289" s="16" t="s">
        <v>87</v>
      </c>
    </row>
    <row r="290" spans="1:32" x14ac:dyDescent="0.25">
      <c r="A290" s="1">
        <v>290</v>
      </c>
      <c r="B290" s="1" t="s">
        <v>1021</v>
      </c>
      <c r="C290" s="2">
        <v>45466.77083333333</v>
      </c>
      <c r="D290" s="2">
        <v>45466.77083333333</v>
      </c>
      <c r="E290" s="1" t="s">
        <v>1022</v>
      </c>
      <c r="F290" s="1" t="s">
        <v>163</v>
      </c>
      <c r="G290" s="1" t="s">
        <v>51</v>
      </c>
      <c r="H290" s="1" t="s">
        <v>52</v>
      </c>
      <c r="I290" s="1" t="s">
        <v>168</v>
      </c>
      <c r="J290" s="1" t="s">
        <v>169</v>
      </c>
      <c r="K290" s="1" t="s">
        <v>39</v>
      </c>
      <c r="L290" s="1" t="s">
        <v>176</v>
      </c>
      <c r="M290" s="1" t="s">
        <v>1023</v>
      </c>
      <c r="N290" s="1" t="s">
        <v>58</v>
      </c>
      <c r="O290" s="1">
        <v>2</v>
      </c>
      <c r="P290" s="3">
        <v>4359.9</v>
      </c>
      <c r="Q290" s="4">
        <v>0.15</v>
      </c>
      <c r="R290" s="4">
        <v>0.15</v>
      </c>
      <c r="S290" s="3">
        <v>7411.83</v>
      </c>
      <c r="T290" s="3">
        <v>4904.63</v>
      </c>
      <c r="U290" s="3">
        <v>2507.2</v>
      </c>
      <c r="V290" s="1" t="s">
        <v>43</v>
      </c>
      <c r="W290" s="1" t="s">
        <v>44</v>
      </c>
      <c r="X290" s="3">
        <f>IF(OR(O290="",P290="",R290=""),"",O290*P290*(1-R290))</f>
        <v>7411.83</v>
      </c>
      <c r="Y290" s="3">
        <f>IF(OR(X290="",T290=""),"",X290-T290)</f>
        <v>2507.2</v>
      </c>
      <c r="Z290" s="4">
        <f>IFERROR(Y290/X290,"")</f>
        <v>0.3383</v>
      </c>
      <c r="AA290" s="1">
        <f>IF(OR(C290="",D290=""),"",D290-C290)</f>
        <v>0</v>
      </c>
      <c r="AB290" s="1">
        <f>IF(C290="","",MONTH(C290))</f>
        <v>6</v>
      </c>
      <c r="AC290" s="1">
        <f>IF(C290="","",YEAR(C290))</f>
        <v>2024</v>
      </c>
      <c r="AD290" s="1" t="s">
        <v>45</v>
      </c>
      <c r="AE290" s="1" t="s">
        <v>46</v>
      </c>
      <c r="AF290" s="1" t="s">
        <v>47</v>
      </c>
    </row>
    <row r="291" spans="1:32" x14ac:dyDescent="0.25">
      <c r="A291" s="1">
        <v>291</v>
      </c>
      <c r="B291" s="1" t="s">
        <v>1024</v>
      </c>
      <c r="C291" s="2">
        <v>45826.77083333333</v>
      </c>
      <c r="D291" s="2">
        <v>45834.77083333333</v>
      </c>
      <c r="E291" s="1" t="s">
        <v>1025</v>
      </c>
      <c r="F291" s="1" t="s">
        <v>34</v>
      </c>
      <c r="G291" s="1" t="s">
        <v>114</v>
      </c>
      <c r="H291" s="1" t="s">
        <v>71</v>
      </c>
      <c r="I291" s="1" t="s">
        <v>277</v>
      </c>
      <c r="J291" s="1" t="s">
        <v>278</v>
      </c>
      <c r="K291" s="1" t="s">
        <v>55</v>
      </c>
      <c r="L291" s="1" t="s">
        <v>182</v>
      </c>
      <c r="M291" s="1" t="s">
        <v>1026</v>
      </c>
      <c r="N291" s="1" t="s">
        <v>64</v>
      </c>
      <c r="O291" s="1">
        <v>2</v>
      </c>
      <c r="P291" s="3">
        <v>4346.69</v>
      </c>
      <c r="Q291" s="4">
        <v>0.05</v>
      </c>
      <c r="R291" s="4">
        <v>0.05</v>
      </c>
      <c r="S291" s="3">
        <v>8258.71</v>
      </c>
      <c r="T291" s="3">
        <v>7018.97</v>
      </c>
      <c r="U291" s="3">
        <v>1239.74</v>
      </c>
      <c r="V291" s="1" t="s">
        <v>43</v>
      </c>
      <c r="W291" s="1" t="s">
        <v>44</v>
      </c>
      <c r="X291" s="3">
        <f>IF(OR(O291="",P291="",R291=""),"",O291*P291*(1-R291))</f>
        <v>8258.71</v>
      </c>
      <c r="Y291" s="3">
        <f>IF(OR(X291="",T291=""),"",X291-T291)</f>
        <v>1239.74</v>
      </c>
      <c r="Z291" s="4">
        <f>IFERROR(Y291/X291,"")</f>
        <v>0.1501</v>
      </c>
      <c r="AA291" s="1">
        <f>IF(OR(C291="",D291=""),"",D291-C291)</f>
        <v>8</v>
      </c>
      <c r="AB291" s="1">
        <f>IF(C291="","",MONTH(C291))</f>
        <v>6</v>
      </c>
      <c r="AC291" s="1">
        <f>IF(C291="","",YEAR(C291))</f>
        <v>2025</v>
      </c>
      <c r="AD291" s="1" t="s">
        <v>45</v>
      </c>
      <c r="AE291" s="1" t="s">
        <v>46</v>
      </c>
      <c r="AF291" s="1" t="s">
        <v>47</v>
      </c>
    </row>
    <row r="292" spans="1:32" x14ac:dyDescent="0.25">
      <c r="A292" s="1">
        <v>292</v>
      </c>
      <c r="B292" s="1" t="s">
        <v>1027</v>
      </c>
      <c r="C292" s="2">
        <v>45890.77083333333</v>
      </c>
      <c r="D292" s="2">
        <v>45894.77083333333</v>
      </c>
      <c r="E292" s="1" t="s">
        <v>1028</v>
      </c>
      <c r="F292" s="1" t="s">
        <v>186</v>
      </c>
      <c r="G292" s="1" t="s">
        <v>114</v>
      </c>
      <c r="H292" s="1" t="s">
        <v>52</v>
      </c>
      <c r="I292" s="1" t="s">
        <v>258</v>
      </c>
      <c r="J292" s="1" t="s">
        <v>259</v>
      </c>
      <c r="K292" s="1" t="s">
        <v>55</v>
      </c>
      <c r="L292" s="1" t="s">
        <v>56</v>
      </c>
      <c r="M292" s="1" t="s">
        <v>1029</v>
      </c>
      <c r="N292" s="1" t="s">
        <v>76</v>
      </c>
      <c r="O292" s="1">
        <v>1</v>
      </c>
      <c r="P292" s="3">
        <v>1842.63</v>
      </c>
      <c r="Q292" s="4">
        <v>0.1</v>
      </c>
      <c r="R292" s="4">
        <v>0.1</v>
      </c>
      <c r="S292" s="3">
        <v>1658.37</v>
      </c>
      <c r="T292" s="3">
        <v>971.12</v>
      </c>
      <c r="U292" s="3">
        <v>687.25</v>
      </c>
      <c r="V292" s="1" t="s">
        <v>43</v>
      </c>
      <c r="W292" s="1" t="s">
        <v>44</v>
      </c>
      <c r="X292" s="3">
        <f>IF(OR(O292="",P292="",R292=""),"",O292*P292*(1-R292))</f>
        <v>1658.37</v>
      </c>
      <c r="Y292" s="3">
        <f>IF(OR(X292="",T292=""),"",X292-T292)</f>
        <v>687.25</v>
      </c>
      <c r="Z292" s="4">
        <f>IFERROR(Y292/X292,"")</f>
        <v>0.4144</v>
      </c>
      <c r="AA292" s="1">
        <f>IF(OR(C292="",D292=""),"",D292-C292)</f>
        <v>4</v>
      </c>
      <c r="AB292" s="1">
        <f>IF(C292="","",MONTH(C292))</f>
        <v>8</v>
      </c>
      <c r="AC292" s="1">
        <f>IF(C292="","",YEAR(C292))</f>
        <v>2025</v>
      </c>
      <c r="AD292" s="1" t="s">
        <v>45</v>
      </c>
      <c r="AE292" s="1" t="s">
        <v>46</v>
      </c>
      <c r="AF292" s="1" t="s">
        <v>47</v>
      </c>
    </row>
    <row r="293" spans="1:32" x14ac:dyDescent="0.25">
      <c r="A293" s="1">
        <v>293</v>
      </c>
      <c r="B293" s="1" t="s">
        <v>1030</v>
      </c>
      <c r="C293" s="2">
        <v>45386.77083333333</v>
      </c>
      <c r="D293" s="2">
        <v>45391.77083333333</v>
      </c>
      <c r="E293" s="1" t="s">
        <v>1031</v>
      </c>
      <c r="F293" s="1" t="s">
        <v>135</v>
      </c>
      <c r="G293" s="1" t="s">
        <v>114</v>
      </c>
      <c r="H293" s="1" t="s">
        <v>36</v>
      </c>
      <c r="I293" s="1" t="s">
        <v>37</v>
      </c>
      <c r="J293" s="1" t="s">
        <v>38</v>
      </c>
      <c r="K293" s="1" t="s">
        <v>39</v>
      </c>
      <c r="L293" s="1" t="s">
        <v>176</v>
      </c>
      <c r="M293" s="1" t="s">
        <v>1032</v>
      </c>
      <c r="N293" s="1" t="s">
        <v>76</v>
      </c>
      <c r="O293" s="1">
        <v>4</v>
      </c>
      <c r="P293" s="3">
        <v>3228.66</v>
      </c>
      <c r="Q293" s="4">
        <v>0.25</v>
      </c>
      <c r="R293" s="4">
        <v>0.25</v>
      </c>
      <c r="S293" s="3">
        <v>9685.98</v>
      </c>
      <c r="T293" s="3">
        <v>7730.04</v>
      </c>
      <c r="U293" s="3">
        <v>1955.94</v>
      </c>
      <c r="V293" s="1" t="s">
        <v>43</v>
      </c>
      <c r="W293" s="1" t="s">
        <v>44</v>
      </c>
      <c r="X293" s="3">
        <f>IF(OR(O293="",P293="",R293=""),"",O293*P293*(1-R293))</f>
        <v>9685.98</v>
      </c>
      <c r="Y293" s="3">
        <f>IF(OR(X293="",T293=""),"",X293-T293)</f>
        <v>1955.94</v>
      </c>
      <c r="Z293" s="4">
        <f>IFERROR(Y293/X293,"")</f>
        <v>0.2019</v>
      </c>
      <c r="AA293" s="1">
        <f>IF(OR(C293="",D293=""),"",D293-C293)</f>
        <v>5</v>
      </c>
      <c r="AB293" s="1">
        <f>IF(C293="","",MONTH(C293))</f>
        <v>4</v>
      </c>
      <c r="AC293" s="1">
        <f>IF(C293="","",YEAR(C293))</f>
        <v>2024</v>
      </c>
      <c r="AD293" s="1" t="s">
        <v>45</v>
      </c>
      <c r="AE293" s="1" t="s">
        <v>46</v>
      </c>
      <c r="AF293" s="1" t="s">
        <v>47</v>
      </c>
    </row>
    <row r="294" spans="1:32" s="15" customFormat="1" x14ac:dyDescent="0.25">
      <c r="A294" s="16">
        <v>294</v>
      </c>
      <c r="B294" s="16" t="s">
        <v>1033</v>
      </c>
      <c r="C294" s="17">
        <v>45715.77083333333</v>
      </c>
      <c r="D294" s="17">
        <v>45718.77083333333</v>
      </c>
      <c r="E294" s="16" t="s">
        <v>1034</v>
      </c>
      <c r="F294" s="16" t="s">
        <v>294</v>
      </c>
      <c r="G294" s="16" t="s">
        <v>114</v>
      </c>
      <c r="H294" s="16" t="s">
        <v>36</v>
      </c>
      <c r="I294" s="16" t="s">
        <v>266</v>
      </c>
      <c r="J294" s="16" t="s">
        <v>267</v>
      </c>
      <c r="K294" s="16" t="s">
        <v>39</v>
      </c>
      <c r="L294" s="16" t="s">
        <v>62</v>
      </c>
      <c r="M294" s="16" t="s">
        <v>1035</v>
      </c>
      <c r="N294" s="16" t="s">
        <v>58</v>
      </c>
      <c r="O294" s="16">
        <v>9</v>
      </c>
      <c r="P294" s="18">
        <v>3748.95</v>
      </c>
      <c r="Q294" s="19">
        <v>0</v>
      </c>
      <c r="R294" s="19">
        <v>0</v>
      </c>
      <c r="S294" s="18">
        <v>33740.55</v>
      </c>
      <c r="T294" s="18">
        <v>24621.89</v>
      </c>
      <c r="U294" s="18">
        <v>9118.66</v>
      </c>
      <c r="V294" s="16" t="s">
        <v>131</v>
      </c>
      <c r="W294" s="16" t="s">
        <v>85</v>
      </c>
      <c r="X294" s="18">
        <f>IF(OR(O294="",P294="",R294=""),"",O294*P294*(1-R294))</f>
        <v>33740.55</v>
      </c>
      <c r="Y294" s="18">
        <f>IF(OR(X294="",T294=""),"",X294-T294)</f>
        <v>9118.66</v>
      </c>
      <c r="Z294" s="19">
        <f>IFERROR(Y294/X294,"")</f>
        <v>0.2703</v>
      </c>
      <c r="AA294" s="16">
        <f>IF(OR(C294="",D294=""),"",D294-C294)</f>
        <v>3</v>
      </c>
      <c r="AB294" s="16">
        <f>IF(C294="","",MONTH(C294))</f>
        <v>2</v>
      </c>
      <c r="AC294" s="16">
        <f>IF(C294="","",YEAR(C294))</f>
        <v>2025</v>
      </c>
      <c r="AD294" s="16" t="s">
        <v>86</v>
      </c>
      <c r="AE294" s="16" t="s">
        <v>66</v>
      </c>
      <c r="AF294" s="16" t="s">
        <v>255</v>
      </c>
    </row>
    <row r="295" spans="1:32" s="10" customFormat="1" x14ac:dyDescent="0.25">
      <c r="A295" s="11">
        <v>295</v>
      </c>
      <c r="B295" s="11" t="s">
        <v>1036</v>
      </c>
      <c r="C295" s="12">
        <v>45357.77083333333</v>
      </c>
      <c r="D295" s="12">
        <v>45361.77083333333</v>
      </c>
      <c r="E295" s="11" t="s">
        <v>1037</v>
      </c>
      <c r="F295" s="11" t="s">
        <v>70</v>
      </c>
      <c r="G295" s="11" t="s">
        <v>114</v>
      </c>
      <c r="H295" s="11" t="s">
        <v>71</v>
      </c>
      <c r="I295" s="11" t="s">
        <v>72</v>
      </c>
      <c r="J295" s="11" t="s">
        <v>73</v>
      </c>
      <c r="K295" s="11" t="s">
        <v>93</v>
      </c>
      <c r="L295" s="11" t="s">
        <v>196</v>
      </c>
      <c r="M295" s="11" t="s">
        <v>1038</v>
      </c>
      <c r="N295" s="11" t="s">
        <v>64</v>
      </c>
      <c r="O295" s="11">
        <v>2</v>
      </c>
      <c r="P295" s="13">
        <v>4401.51</v>
      </c>
      <c r="Q295" s="14">
        <v>0.65</v>
      </c>
      <c r="R295" s="14">
        <v>0.65</v>
      </c>
      <c r="S295" s="13">
        <v>8362.87</v>
      </c>
      <c r="T295" s="13">
        <v>6541.04</v>
      </c>
      <c r="U295" s="13">
        <v>1821.83</v>
      </c>
      <c r="V295" s="11" t="s">
        <v>43</v>
      </c>
      <c r="W295" s="11" t="s">
        <v>44</v>
      </c>
      <c r="X295" s="13">
        <f>IF(OR(O295="",P295="",R295=""),"",O295*P295*(1-R295))</f>
        <v>3081.06</v>
      </c>
      <c r="Y295" s="13">
        <f>IF(OR(X295="",T295=""),"",X295-T295)</f>
        <v>-3459.98</v>
      </c>
      <c r="Z295" s="14">
        <f>IFERROR(Y295/X295,"")</f>
        <v>-1.123</v>
      </c>
      <c r="AA295" s="11">
        <f>IF(OR(C295="",D295=""),"",D295-C295)</f>
        <v>4</v>
      </c>
      <c r="AB295" s="11">
        <f>IF(C295="","",MONTH(C295))</f>
        <v>3</v>
      </c>
      <c r="AC295" s="11">
        <f>IF(C295="","",YEAR(C295))</f>
        <v>2024</v>
      </c>
      <c r="AD295" s="11" t="s">
        <v>65</v>
      </c>
      <c r="AE295" s="11" t="s">
        <v>66</v>
      </c>
      <c r="AF295" s="11" t="s">
        <v>67</v>
      </c>
    </row>
    <row r="296" spans="1:32" s="15" customFormat="1" x14ac:dyDescent="0.25">
      <c r="A296" s="16">
        <v>296</v>
      </c>
      <c r="B296" s="16" t="s">
        <v>1039</v>
      </c>
      <c r="C296" s="17">
        <v>45853.77083333333</v>
      </c>
      <c r="D296" s="17">
        <v>45859.77083333333</v>
      </c>
      <c r="E296" s="16" t="s">
        <v>1040</v>
      </c>
      <c r="F296" s="16" t="s">
        <v>135</v>
      </c>
      <c r="G296" s="16" t="s">
        <v>35</v>
      </c>
      <c r="H296" s="16" t="s">
        <v>52</v>
      </c>
      <c r="I296" s="16" t="s">
        <v>53</v>
      </c>
      <c r="J296" s="16" t="s">
        <v>54</v>
      </c>
      <c r="K296" s="16" t="s">
        <v>93</v>
      </c>
      <c r="L296" s="16" t="s">
        <v>196</v>
      </c>
      <c r="M296" s="16" t="s">
        <v>1041</v>
      </c>
      <c r="N296" s="16" t="s">
        <v>42</v>
      </c>
      <c r="O296" s="16">
        <v>6</v>
      </c>
      <c r="P296" s="18">
        <v>4159.33</v>
      </c>
      <c r="Q296" s="19">
        <v>0.25</v>
      </c>
      <c r="R296" s="19">
        <v>0.25</v>
      </c>
      <c r="S296" s="18">
        <v>18716.99</v>
      </c>
      <c r="T296" s="18">
        <v>12282.43</v>
      </c>
      <c r="U296" s="18">
        <v>6434.56</v>
      </c>
      <c r="V296" s="16" t="s">
        <v>43</v>
      </c>
      <c r="W296" s="16" t="s">
        <v>122</v>
      </c>
      <c r="X296" s="18">
        <f>IF(OR(O296="",P296="",R296=""),"",O296*P296*(1-R296))</f>
        <v>18716.99</v>
      </c>
      <c r="Y296" s="18">
        <f>IF(OR(X296="",T296=""),"",X296-T296)</f>
        <v>6434.56</v>
      </c>
      <c r="Z296" s="19">
        <f>IFERROR(Y296/X296,"")</f>
        <v>0.3438</v>
      </c>
      <c r="AA296" s="16">
        <f>IF(OR(C296="",D296=""),"",D296-C296)</f>
        <v>6</v>
      </c>
      <c r="AB296" s="16">
        <f>IF(C296="","",MONTH(C296))</f>
        <v>7</v>
      </c>
      <c r="AC296" s="16">
        <f>IF(C296="","",YEAR(C296))</f>
        <v>2025</v>
      </c>
      <c r="AD296" s="16" t="s">
        <v>86</v>
      </c>
      <c r="AE296" s="16" t="s">
        <v>66</v>
      </c>
      <c r="AF296" s="16" t="s">
        <v>198</v>
      </c>
    </row>
    <row r="297" spans="1:32" x14ac:dyDescent="0.25">
      <c r="A297" s="1">
        <v>297</v>
      </c>
      <c r="B297" s="1" t="s">
        <v>1042</v>
      </c>
      <c r="C297" s="2">
        <v>45832.77083333333</v>
      </c>
      <c r="D297" s="2">
        <v>45835.77083333333</v>
      </c>
      <c r="E297" s="1" t="s">
        <v>1043</v>
      </c>
      <c r="F297" s="1" t="s">
        <v>108</v>
      </c>
      <c r="G297" s="1" t="s">
        <v>51</v>
      </c>
      <c r="H297" s="1" t="s">
        <v>52</v>
      </c>
      <c r="I297" s="1" t="s">
        <v>191</v>
      </c>
      <c r="J297" s="1" t="s">
        <v>192</v>
      </c>
      <c r="K297" s="1" t="s">
        <v>39</v>
      </c>
      <c r="L297" s="1" t="s">
        <v>176</v>
      </c>
      <c r="M297" s="1" t="s">
        <v>1044</v>
      </c>
      <c r="N297" s="1" t="s">
        <v>76</v>
      </c>
      <c r="O297" s="1">
        <v>3</v>
      </c>
      <c r="P297" s="3">
        <v>3476.05</v>
      </c>
      <c r="Q297" s="4">
        <v>0.1</v>
      </c>
      <c r="R297" s="4">
        <v>0.1</v>
      </c>
      <c r="S297" s="3">
        <v>9385.34</v>
      </c>
      <c r="T297" s="3">
        <v>5828.54</v>
      </c>
      <c r="U297" s="3">
        <v>3556.8</v>
      </c>
      <c r="V297" s="1" t="s">
        <v>43</v>
      </c>
      <c r="W297" s="1" t="s">
        <v>44</v>
      </c>
      <c r="X297" s="3">
        <f>IF(OR(O297="",P297="",R297=""),"",O297*P297*(1-R297))</f>
        <v>9385.34</v>
      </c>
      <c r="Y297" s="3">
        <f>IF(OR(X297="",T297=""),"",X297-T297)</f>
        <v>3556.8</v>
      </c>
      <c r="Z297" s="4">
        <f>IFERROR(Y297/X297,"")</f>
        <v>0.379</v>
      </c>
      <c r="AA297" s="1">
        <f>IF(OR(C297="",D297=""),"",D297-C297)</f>
        <v>3</v>
      </c>
      <c r="AB297" s="1">
        <f>IF(C297="","",MONTH(C297))</f>
        <v>6</v>
      </c>
      <c r="AC297" s="1">
        <f>IF(C297="","",YEAR(C297))</f>
        <v>2025</v>
      </c>
      <c r="AD297" s="1" t="s">
        <v>45</v>
      </c>
      <c r="AE297" s="1" t="s">
        <v>46</v>
      </c>
      <c r="AF297" s="1" t="s">
        <v>47</v>
      </c>
    </row>
    <row r="298" spans="1:32" x14ac:dyDescent="0.25">
      <c r="A298" s="1">
        <v>298</v>
      </c>
      <c r="B298" s="1" t="s">
        <v>1045</v>
      </c>
      <c r="C298" s="2">
        <v>45800.77083333333</v>
      </c>
      <c r="D298" s="2">
        <v>45802.77083333333</v>
      </c>
      <c r="E298" s="1" t="s">
        <v>1046</v>
      </c>
      <c r="F298" s="1" t="s">
        <v>108</v>
      </c>
      <c r="G298" s="1" t="s">
        <v>114</v>
      </c>
      <c r="H298" s="1" t="s">
        <v>36</v>
      </c>
      <c r="I298" s="1" t="s">
        <v>266</v>
      </c>
      <c r="J298" s="1" t="s">
        <v>267</v>
      </c>
      <c r="K298" s="1" t="s">
        <v>55</v>
      </c>
      <c r="L298" s="1" t="s">
        <v>74</v>
      </c>
      <c r="M298" s="1" t="s">
        <v>1047</v>
      </c>
      <c r="N298" s="1" t="s">
        <v>58</v>
      </c>
      <c r="O298" s="1">
        <v>6</v>
      </c>
      <c r="P298" s="3">
        <v>3495.41</v>
      </c>
      <c r="Q298" s="4">
        <v>0.15</v>
      </c>
      <c r="R298" s="4">
        <v>0.15</v>
      </c>
      <c r="S298" s="3">
        <v>17826.59</v>
      </c>
      <c r="T298" s="3">
        <v>10855.35</v>
      </c>
      <c r="U298" s="3">
        <v>6971.24</v>
      </c>
      <c r="V298" s="1" t="s">
        <v>43</v>
      </c>
      <c r="W298" s="1" t="s">
        <v>44</v>
      </c>
      <c r="X298" s="3">
        <f>IF(OR(O298="",P298="",R298=""),"",O298*P298*(1-R298))</f>
        <v>17826.59</v>
      </c>
      <c r="Y298" s="3">
        <f>IF(OR(X298="",T298=""),"",X298-T298)</f>
        <v>6971.24</v>
      </c>
      <c r="Z298" s="4">
        <f>IFERROR(Y298/X298,"")</f>
        <v>0.3911</v>
      </c>
      <c r="AA298" s="1">
        <f>IF(OR(C298="",D298=""),"",D298-C298)</f>
        <v>2</v>
      </c>
      <c r="AB298" s="1">
        <f>IF(C298="","",MONTH(C298))</f>
        <v>5</v>
      </c>
      <c r="AC298" s="1">
        <f>IF(C298="","",YEAR(C298))</f>
        <v>2025</v>
      </c>
      <c r="AD298" s="1" t="s">
        <v>45</v>
      </c>
      <c r="AE298" s="1" t="s">
        <v>46</v>
      </c>
      <c r="AF298" s="1" t="s">
        <v>47</v>
      </c>
    </row>
    <row r="299" spans="1:32" x14ac:dyDescent="0.25">
      <c r="A299" s="1">
        <v>299</v>
      </c>
      <c r="B299" s="1" t="s">
        <v>1048</v>
      </c>
      <c r="C299" s="2">
        <v>45593.77083333333</v>
      </c>
      <c r="D299" s="2">
        <v>45601.77083333333</v>
      </c>
      <c r="E299" s="1" t="s">
        <v>1049</v>
      </c>
      <c r="F299" s="1" t="s">
        <v>153</v>
      </c>
      <c r="G299" s="1" t="s">
        <v>109</v>
      </c>
      <c r="H299" s="1" t="s">
        <v>71</v>
      </c>
      <c r="I299" s="1" t="s">
        <v>277</v>
      </c>
      <c r="J299" s="1" t="s">
        <v>278</v>
      </c>
      <c r="K299" s="1" t="s">
        <v>93</v>
      </c>
      <c r="L299" s="1" t="s">
        <v>99</v>
      </c>
      <c r="M299" s="1" t="s">
        <v>1050</v>
      </c>
      <c r="N299" s="1" t="s">
        <v>58</v>
      </c>
      <c r="O299" s="1">
        <v>6</v>
      </c>
      <c r="P299" s="3">
        <v>1169.92</v>
      </c>
      <c r="Q299" s="4">
        <v>0.15</v>
      </c>
      <c r="R299" s="4">
        <v>0.15</v>
      </c>
      <c r="S299" s="3">
        <v>5966.59</v>
      </c>
      <c r="T299" s="3">
        <v>3994.72</v>
      </c>
      <c r="U299" s="3">
        <v>1971.87</v>
      </c>
      <c r="V299" s="1" t="s">
        <v>43</v>
      </c>
      <c r="W299" s="1" t="s">
        <v>44</v>
      </c>
      <c r="X299" s="3">
        <f>IF(OR(O299="",P299="",R299=""),"",O299*P299*(1-R299))</f>
        <v>5966.59</v>
      </c>
      <c r="Y299" s="3">
        <f>IF(OR(X299="",T299=""),"",X299-T299)</f>
        <v>1971.87</v>
      </c>
      <c r="Z299" s="4">
        <f>IFERROR(Y299/X299,"")</f>
        <v>0.3305</v>
      </c>
      <c r="AA299" s="1">
        <f>IF(OR(C299="",D299=""),"",D299-C299)</f>
        <v>8</v>
      </c>
      <c r="AB299" s="1">
        <f>IF(C299="","",MONTH(C299))</f>
        <v>10</v>
      </c>
      <c r="AC299" s="1">
        <f>IF(C299="","",YEAR(C299))</f>
        <v>2024</v>
      </c>
      <c r="AD299" s="1" t="s">
        <v>45</v>
      </c>
      <c r="AE299" s="1" t="s">
        <v>46</v>
      </c>
      <c r="AF299" s="1" t="s">
        <v>47</v>
      </c>
    </row>
    <row r="300" spans="1:32" s="15" customFormat="1" x14ac:dyDescent="0.25">
      <c r="A300" s="16">
        <v>300</v>
      </c>
      <c r="B300" s="16" t="s">
        <v>1051</v>
      </c>
      <c r="C300" s="17">
        <v>45679.77083333333</v>
      </c>
      <c r="D300" s="17">
        <v>45682.77083333333</v>
      </c>
      <c r="E300" s="16" t="s">
        <v>1052</v>
      </c>
      <c r="F300" s="16" t="s">
        <v>61</v>
      </c>
      <c r="G300" s="16" t="s">
        <v>35</v>
      </c>
      <c r="H300" s="16" t="s">
        <v>71</v>
      </c>
      <c r="I300" s="16" t="s">
        <v>211</v>
      </c>
      <c r="J300" s="16" t="s">
        <v>212</v>
      </c>
      <c r="K300" s="16" t="s">
        <v>93</v>
      </c>
      <c r="L300" s="16" t="s">
        <v>99</v>
      </c>
      <c r="M300" s="16" t="s">
        <v>1053</v>
      </c>
      <c r="N300" s="16" t="s">
        <v>64</v>
      </c>
      <c r="O300" s="16">
        <v>7</v>
      </c>
      <c r="P300" s="18">
        <v>348.49</v>
      </c>
      <c r="Q300" s="19">
        <v>0.2</v>
      </c>
      <c r="R300" s="19">
        <v>0.2</v>
      </c>
      <c r="S300" s="18">
        <v>1951.54</v>
      </c>
      <c r="T300" s="18">
        <v>1609.95</v>
      </c>
      <c r="U300" s="18">
        <v>341.59</v>
      </c>
      <c r="V300" s="16" t="s">
        <v>178</v>
      </c>
      <c r="W300" s="16" t="s">
        <v>122</v>
      </c>
      <c r="X300" s="18">
        <f>IF(OR(O300="",P300="",R300=""),"",O300*P300*(1-R300))</f>
        <v>1951.54</v>
      </c>
      <c r="Y300" s="18">
        <f>IF(OR(X300="",T300=""),"",X300-T300)</f>
        <v>341.59</v>
      </c>
      <c r="Z300" s="19">
        <f>IFERROR(Y300/X300,"")</f>
        <v>0.175</v>
      </c>
      <c r="AA300" s="16">
        <f>IF(OR(C300="",D300=""),"",D300-C300)</f>
        <v>3</v>
      </c>
      <c r="AB300" s="16">
        <f>IF(C300="","",MONTH(C300))</f>
        <v>1</v>
      </c>
      <c r="AC300" s="16">
        <f>IF(C300="","",YEAR(C300))</f>
        <v>2025</v>
      </c>
      <c r="AD300" s="16" t="s">
        <v>86</v>
      </c>
      <c r="AE300" s="16" t="s">
        <v>66</v>
      </c>
      <c r="AF300" s="16" t="s">
        <v>179</v>
      </c>
    </row>
    <row r="301" spans="1:32" x14ac:dyDescent="0.25">
      <c r="A301" s="1">
        <v>301</v>
      </c>
      <c r="B301" s="1" t="s">
        <v>1054</v>
      </c>
      <c r="C301" s="2">
        <v>45601.77083333333</v>
      </c>
      <c r="D301" s="2">
        <v>45607.77083333333</v>
      </c>
      <c r="E301" s="1" t="s">
        <v>1055</v>
      </c>
      <c r="F301" s="1" t="s">
        <v>139</v>
      </c>
      <c r="G301" s="1" t="s">
        <v>51</v>
      </c>
      <c r="H301" s="1" t="s">
        <v>80</v>
      </c>
      <c r="I301" s="1" t="s">
        <v>206</v>
      </c>
      <c r="J301" s="1" t="s">
        <v>207</v>
      </c>
      <c r="K301" s="1" t="s">
        <v>93</v>
      </c>
      <c r="L301" s="1" t="s">
        <v>94</v>
      </c>
      <c r="M301" s="1" t="s">
        <v>1056</v>
      </c>
      <c r="N301" s="1" t="s">
        <v>76</v>
      </c>
      <c r="O301" s="1">
        <v>7</v>
      </c>
      <c r="P301" s="3">
        <v>1719.05</v>
      </c>
      <c r="Q301" s="4">
        <v>0.1</v>
      </c>
      <c r="R301" s="4">
        <v>0.1</v>
      </c>
      <c r="S301" s="3">
        <v>10830.02</v>
      </c>
      <c r="T301" s="3">
        <v>7055.31</v>
      </c>
      <c r="U301" s="3">
        <v>3774.71</v>
      </c>
      <c r="V301" s="1" t="s">
        <v>43</v>
      </c>
      <c r="W301" s="1" t="s">
        <v>44</v>
      </c>
      <c r="X301" s="3">
        <f>IF(OR(O301="",P301="",R301=""),"",O301*P301*(1-R301))</f>
        <v>10830.02</v>
      </c>
      <c r="Y301" s="3">
        <f>IF(OR(X301="",T301=""),"",X301-T301)</f>
        <v>3774.71</v>
      </c>
      <c r="Z301" s="4">
        <f>IFERROR(Y301/X301,"")</f>
        <v>0.3485</v>
      </c>
      <c r="AA301" s="1">
        <f>IF(OR(C301="",D301=""),"",D301-C301)</f>
        <v>6</v>
      </c>
      <c r="AB301" s="1">
        <f>IF(C301="","",MONTH(C301))</f>
        <v>11</v>
      </c>
      <c r="AC301" s="1">
        <f>IF(C301="","",YEAR(C301))</f>
        <v>2024</v>
      </c>
      <c r="AD301" s="1" t="s">
        <v>45</v>
      </c>
      <c r="AE301" s="1" t="s">
        <v>46</v>
      </c>
      <c r="AF301" s="1" t="s">
        <v>47</v>
      </c>
    </row>
    <row r="302" spans="1:32" x14ac:dyDescent="0.25">
      <c r="A302" s="1">
        <v>302</v>
      </c>
      <c r="B302" s="1" t="s">
        <v>1057</v>
      </c>
      <c r="C302" s="2">
        <v>45396.77083333333</v>
      </c>
      <c r="D302" s="2">
        <v>45404.77083333333</v>
      </c>
      <c r="E302" s="1" t="s">
        <v>1058</v>
      </c>
      <c r="F302" s="1" t="s">
        <v>186</v>
      </c>
      <c r="G302" s="1" t="s">
        <v>51</v>
      </c>
      <c r="H302" s="1" t="s">
        <v>36</v>
      </c>
      <c r="I302" s="1" t="s">
        <v>143</v>
      </c>
      <c r="J302" s="1" t="s">
        <v>144</v>
      </c>
      <c r="K302" s="1" t="s">
        <v>93</v>
      </c>
      <c r="L302" s="1" t="s">
        <v>94</v>
      </c>
      <c r="M302" s="1" t="s">
        <v>1059</v>
      </c>
      <c r="N302" s="1" t="s">
        <v>42</v>
      </c>
      <c r="O302" s="1">
        <v>9</v>
      </c>
      <c r="P302" s="3">
        <v>3893.74</v>
      </c>
      <c r="Q302" s="4">
        <v>0.1</v>
      </c>
      <c r="R302" s="4">
        <v>0.1</v>
      </c>
      <c r="S302" s="3">
        <v>31539.29</v>
      </c>
      <c r="T302" s="3">
        <v>22100.14</v>
      </c>
      <c r="U302" s="3">
        <v>9439.15</v>
      </c>
      <c r="V302" s="1" t="s">
        <v>43</v>
      </c>
      <c r="W302" s="1" t="s">
        <v>44</v>
      </c>
      <c r="X302" s="3">
        <f>IF(OR(O302="",P302="",R302=""),"",O302*P302*(1-R302))</f>
        <v>31539.29</v>
      </c>
      <c r="Y302" s="3">
        <f>IF(OR(X302="",T302=""),"",X302-T302)</f>
        <v>9439.15</v>
      </c>
      <c r="Z302" s="4">
        <f>IFERROR(Y302/X302,"")</f>
        <v>0.2993</v>
      </c>
      <c r="AA302" s="1">
        <f>IF(OR(C302="",D302=""),"",D302-C302)</f>
        <v>8</v>
      </c>
      <c r="AB302" s="1">
        <f>IF(C302="","",MONTH(C302))</f>
        <v>4</v>
      </c>
      <c r="AC302" s="1">
        <f>IF(C302="","",YEAR(C302))</f>
        <v>2024</v>
      </c>
      <c r="AD302" s="1" t="s">
        <v>45</v>
      </c>
      <c r="AE302" s="1" t="s">
        <v>46</v>
      </c>
      <c r="AF302" s="1" t="s">
        <v>47</v>
      </c>
    </row>
    <row r="303" spans="1:32" x14ac:dyDescent="0.25">
      <c r="A303" s="1">
        <v>303</v>
      </c>
      <c r="B303" s="1" t="s">
        <v>1060</v>
      </c>
      <c r="C303" s="2">
        <v>45804.77083333333</v>
      </c>
      <c r="D303" s="2">
        <v>45808.77083333333</v>
      </c>
      <c r="E303" s="1" t="s">
        <v>1061</v>
      </c>
      <c r="F303" s="1" t="s">
        <v>61</v>
      </c>
      <c r="G303" s="1" t="s">
        <v>114</v>
      </c>
      <c r="H303" s="1" t="s">
        <v>52</v>
      </c>
      <c r="I303" s="1" t="s">
        <v>168</v>
      </c>
      <c r="J303" s="1" t="s">
        <v>169</v>
      </c>
      <c r="K303" s="1" t="s">
        <v>93</v>
      </c>
      <c r="L303" s="1" t="s">
        <v>196</v>
      </c>
      <c r="M303" s="1" t="s">
        <v>1062</v>
      </c>
      <c r="N303" s="1" t="s">
        <v>58</v>
      </c>
      <c r="O303" s="1">
        <v>4</v>
      </c>
      <c r="P303" s="3">
        <v>1654.11</v>
      </c>
      <c r="Q303" s="4">
        <v>0.05</v>
      </c>
      <c r="R303" s="4">
        <v>0.05</v>
      </c>
      <c r="S303" s="3">
        <v>6285.62</v>
      </c>
      <c r="T303" s="3">
        <v>3705.38</v>
      </c>
      <c r="U303" s="3">
        <v>2580.24</v>
      </c>
      <c r="V303" s="1" t="s">
        <v>43</v>
      </c>
      <c r="W303" s="1" t="s">
        <v>44</v>
      </c>
      <c r="X303" s="3">
        <f>IF(OR(O303="",P303="",R303=""),"",O303*P303*(1-R303))</f>
        <v>6285.62</v>
      </c>
      <c r="Y303" s="3">
        <f>IF(OR(X303="",T303=""),"",X303-T303)</f>
        <v>2580.24</v>
      </c>
      <c r="Z303" s="4">
        <f>IFERROR(Y303/X303,"")</f>
        <v>0.4105</v>
      </c>
      <c r="AA303" s="1">
        <f>IF(OR(C303="",D303=""),"",D303-C303)</f>
        <v>4</v>
      </c>
      <c r="AB303" s="1">
        <f>IF(C303="","",MONTH(C303))</f>
        <v>5</v>
      </c>
      <c r="AC303" s="1">
        <f>IF(C303="","",YEAR(C303))</f>
        <v>2025</v>
      </c>
      <c r="AD303" s="1" t="s">
        <v>45</v>
      </c>
      <c r="AE303" s="1" t="s">
        <v>46</v>
      </c>
      <c r="AF303" s="1" t="s">
        <v>47</v>
      </c>
    </row>
    <row r="304" spans="1:32" x14ac:dyDescent="0.25">
      <c r="A304" s="1">
        <v>304</v>
      </c>
      <c r="B304" s="1" t="s">
        <v>1063</v>
      </c>
      <c r="C304" s="2">
        <v>45811.77083333333</v>
      </c>
      <c r="D304" s="2">
        <v>45819.77083333333</v>
      </c>
      <c r="E304" s="1" t="s">
        <v>1064</v>
      </c>
      <c r="F304" s="1" t="s">
        <v>98</v>
      </c>
      <c r="G304" s="1" t="s">
        <v>35</v>
      </c>
      <c r="H304" s="1" t="s">
        <v>80</v>
      </c>
      <c r="I304" s="1" t="s">
        <v>216</v>
      </c>
      <c r="J304" s="1" t="s">
        <v>217</v>
      </c>
      <c r="K304" s="1" t="s">
        <v>39</v>
      </c>
      <c r="L304" s="1" t="s">
        <v>145</v>
      </c>
      <c r="M304" s="1" t="s">
        <v>1065</v>
      </c>
      <c r="N304" s="1" t="s">
        <v>58</v>
      </c>
      <c r="O304" s="1">
        <v>2</v>
      </c>
      <c r="P304" s="3">
        <v>2703.28</v>
      </c>
      <c r="Q304" s="4">
        <v>0.25</v>
      </c>
      <c r="R304" s="4">
        <v>0.25</v>
      </c>
      <c r="S304" s="3">
        <v>4054.92</v>
      </c>
      <c r="T304" s="3">
        <v>2424.83</v>
      </c>
      <c r="U304" s="3">
        <v>1630.09</v>
      </c>
      <c r="V304" s="1" t="s">
        <v>43</v>
      </c>
      <c r="W304" s="1" t="s">
        <v>44</v>
      </c>
      <c r="X304" s="3">
        <f>IF(OR(O304="",P304="",R304=""),"",O304*P304*(1-R304))</f>
        <v>4054.92</v>
      </c>
      <c r="Y304" s="3">
        <f>IF(OR(X304="",T304=""),"",X304-T304)</f>
        <v>1630.09</v>
      </c>
      <c r="Z304" s="4">
        <f>IFERROR(Y304/X304,"")</f>
        <v>0.402</v>
      </c>
      <c r="AA304" s="1">
        <f>IF(OR(C304="",D304=""),"",D304-C304)</f>
        <v>8</v>
      </c>
      <c r="AB304" s="1">
        <f>IF(C304="","",MONTH(C304))</f>
        <v>6</v>
      </c>
      <c r="AC304" s="1">
        <f>IF(C304="","",YEAR(C304))</f>
        <v>2025</v>
      </c>
      <c r="AD304" s="1" t="s">
        <v>45</v>
      </c>
      <c r="AE304" s="1" t="s">
        <v>46</v>
      </c>
      <c r="AF304" s="1" t="s">
        <v>47</v>
      </c>
    </row>
    <row r="305" spans="1:32" s="15" customFormat="1" x14ac:dyDescent="0.25">
      <c r="A305" s="16">
        <v>305</v>
      </c>
      <c r="B305" s="16" t="s">
        <v>1066</v>
      </c>
      <c r="C305" s="17">
        <v>45465.77083333333</v>
      </c>
      <c r="D305" s="17">
        <v>45470.77083333333</v>
      </c>
      <c r="E305" s="16" t="s">
        <v>1067</v>
      </c>
      <c r="F305" s="16" t="s">
        <v>186</v>
      </c>
      <c r="G305" s="16" t="s">
        <v>114</v>
      </c>
      <c r="H305" s="16" t="s">
        <v>80</v>
      </c>
      <c r="I305" s="16" t="s">
        <v>206</v>
      </c>
      <c r="J305" s="16" t="s">
        <v>207</v>
      </c>
      <c r="K305" s="16" t="s">
        <v>55</v>
      </c>
      <c r="L305" s="16" t="s">
        <v>83</v>
      </c>
      <c r="M305" s="16" t="s">
        <v>1068</v>
      </c>
      <c r="N305" s="16" t="s">
        <v>76</v>
      </c>
      <c r="O305" s="16">
        <v>2</v>
      </c>
      <c r="P305" s="18">
        <v>1313.14</v>
      </c>
      <c r="Q305" s="19">
        <v>0.1</v>
      </c>
      <c r="R305" s="19">
        <v>0.1</v>
      </c>
      <c r="S305" s="18">
        <v>2363.65</v>
      </c>
      <c r="T305" s="18">
        <v>1876.1</v>
      </c>
      <c r="U305" s="18">
        <v>487.55</v>
      </c>
      <c r="V305" s="16" t="s">
        <v>131</v>
      </c>
      <c r="W305" s="16" t="s">
        <v>122</v>
      </c>
      <c r="X305" s="18">
        <f>IF(OR(O305="",P305="",R305=""),"",O305*P305*(1-R305))</f>
        <v>2363.65</v>
      </c>
      <c r="Y305" s="18">
        <f>IF(OR(X305="",T305=""),"",X305-T305)</f>
        <v>487.55</v>
      </c>
      <c r="Z305" s="19">
        <f>IFERROR(Y305/X305,"")</f>
        <v>0.2063</v>
      </c>
      <c r="AA305" s="16">
        <f>IF(OR(C305="",D305=""),"",D305-C305)</f>
        <v>5</v>
      </c>
      <c r="AB305" s="16">
        <f>IF(C305="","",MONTH(C305))</f>
        <v>6</v>
      </c>
      <c r="AC305" s="16">
        <f>IF(C305="","",YEAR(C305))</f>
        <v>2024</v>
      </c>
      <c r="AD305" s="16" t="s">
        <v>86</v>
      </c>
      <c r="AE305" s="16" t="s">
        <v>66</v>
      </c>
      <c r="AF305" s="16" t="s">
        <v>132</v>
      </c>
    </row>
    <row r="306" spans="1:32" x14ac:dyDescent="0.25">
      <c r="A306" s="1">
        <v>306</v>
      </c>
      <c r="B306" s="1" t="s">
        <v>1069</v>
      </c>
      <c r="C306" s="2">
        <v>45356.77083333333</v>
      </c>
      <c r="D306" s="2">
        <v>45363.77083333333</v>
      </c>
      <c r="E306" s="1" t="s">
        <v>1070</v>
      </c>
      <c r="F306" s="1" t="s">
        <v>34</v>
      </c>
      <c r="G306" s="1" t="s">
        <v>35</v>
      </c>
      <c r="H306" s="1" t="s">
        <v>36</v>
      </c>
      <c r="I306" s="1" t="s">
        <v>143</v>
      </c>
      <c r="J306" s="1" t="s">
        <v>144</v>
      </c>
      <c r="K306" s="1" t="s">
        <v>55</v>
      </c>
      <c r="L306" s="1" t="s">
        <v>74</v>
      </c>
      <c r="M306" s="1" t="s">
        <v>1071</v>
      </c>
      <c r="N306" s="1" t="s">
        <v>76</v>
      </c>
      <c r="O306" s="1">
        <v>6</v>
      </c>
      <c r="P306" s="3">
        <v>2403.05</v>
      </c>
      <c r="Q306" s="4">
        <v>0.1</v>
      </c>
      <c r="R306" s="4">
        <v>0.1</v>
      </c>
      <c r="S306" s="3">
        <v>12976.47</v>
      </c>
      <c r="T306" s="3">
        <v>10019.98</v>
      </c>
      <c r="U306" s="3">
        <v>2956.49</v>
      </c>
      <c r="V306" s="1" t="s">
        <v>43</v>
      </c>
      <c r="W306" s="1" t="s">
        <v>44</v>
      </c>
      <c r="X306" s="3">
        <f>IF(OR(O306="",P306="",R306=""),"",O306*P306*(1-R306))</f>
        <v>12976.47</v>
      </c>
      <c r="Y306" s="3">
        <f>IF(OR(X306="",T306=""),"",X306-T306)</f>
        <v>2956.49</v>
      </c>
      <c r="Z306" s="4">
        <f>IFERROR(Y306/X306,"")</f>
        <v>0.2278</v>
      </c>
      <c r="AA306" s="1">
        <f>IF(OR(C306="",D306=""),"",D306-C306)</f>
        <v>7</v>
      </c>
      <c r="AB306" s="1">
        <f>IF(C306="","",MONTH(C306))</f>
        <v>3</v>
      </c>
      <c r="AC306" s="1">
        <f>IF(C306="","",YEAR(C306))</f>
        <v>2024</v>
      </c>
      <c r="AD306" s="1" t="s">
        <v>45</v>
      </c>
      <c r="AE306" s="1" t="s">
        <v>46</v>
      </c>
      <c r="AF306" s="1" t="s">
        <v>47</v>
      </c>
    </row>
    <row r="307" spans="1:32" s="10" customFormat="1" x14ac:dyDescent="0.25">
      <c r="A307" s="11">
        <v>307</v>
      </c>
      <c r="B307" s="11" t="s">
        <v>1072</v>
      </c>
      <c r="C307" s="12">
        <v>45412.77083333333</v>
      </c>
      <c r="D307" s="12">
        <v>45413.77083333333</v>
      </c>
      <c r="E307" s="11" t="s">
        <v>1073</v>
      </c>
      <c r="F307" s="11" t="s">
        <v>79</v>
      </c>
      <c r="G307" s="11" t="s">
        <v>35</v>
      </c>
      <c r="H307" s="11" t="s">
        <v>52</v>
      </c>
      <c r="I307" s="11" t="s">
        <v>191</v>
      </c>
      <c r="J307" s="11" t="s">
        <v>192</v>
      </c>
      <c r="K307" s="11" t="s">
        <v>55</v>
      </c>
      <c r="L307" s="11" t="s">
        <v>83</v>
      </c>
      <c r="M307" s="11" t="s">
        <v>1074</v>
      </c>
      <c r="N307" s="11" t="s">
        <v>64</v>
      </c>
      <c r="O307" s="11">
        <v>4</v>
      </c>
      <c r="P307" s="13">
        <v>4156.06</v>
      </c>
      <c r="Q307" s="14">
        <v>0.55</v>
      </c>
      <c r="R307" s="14">
        <v>0.55</v>
      </c>
      <c r="S307" s="13">
        <v>13299.39</v>
      </c>
      <c r="T307" s="13">
        <v>9851.91</v>
      </c>
      <c r="U307" s="13">
        <v>3447.48</v>
      </c>
      <c r="V307" s="11" t="s">
        <v>43</v>
      </c>
      <c r="W307" s="11" t="s">
        <v>85</v>
      </c>
      <c r="X307" s="13">
        <f>IF(OR(O307="",P307="",R307=""),"",O307*P307*(1-R307))</f>
        <v>7480.91</v>
      </c>
      <c r="Y307" s="13">
        <f>IF(OR(X307="",T307=""),"",X307-T307)</f>
        <v>-2371</v>
      </c>
      <c r="Z307" s="14">
        <f>IFERROR(Y307/X307,"")</f>
        <v>-0.3169</v>
      </c>
      <c r="AA307" s="11">
        <f>IF(OR(C307="",D307=""),"",D307-C307)</f>
        <v>1</v>
      </c>
      <c r="AB307" s="11">
        <f>IF(C307="","",MONTH(C307))</f>
        <v>5</v>
      </c>
      <c r="AC307" s="11">
        <f>IF(C307="","",YEAR(C307))</f>
        <v>2024</v>
      </c>
      <c r="AD307" s="11" t="s">
        <v>65</v>
      </c>
      <c r="AE307" s="11" t="s">
        <v>66</v>
      </c>
      <c r="AF307" s="11" t="s">
        <v>1075</v>
      </c>
    </row>
    <row r="308" spans="1:32" x14ac:dyDescent="0.25">
      <c r="A308" s="1">
        <v>308</v>
      </c>
      <c r="B308" s="1" t="s">
        <v>1076</v>
      </c>
      <c r="C308" s="2">
        <v>45707.77083333333</v>
      </c>
      <c r="D308" s="2">
        <v>45710.77083333333</v>
      </c>
      <c r="E308" s="1" t="s">
        <v>1077</v>
      </c>
      <c r="F308" s="1" t="s">
        <v>149</v>
      </c>
      <c r="G308" s="1" t="s">
        <v>35</v>
      </c>
      <c r="H308" s="1" t="s">
        <v>36</v>
      </c>
      <c r="I308" s="1" t="s">
        <v>37</v>
      </c>
      <c r="J308" s="1" t="s">
        <v>38</v>
      </c>
      <c r="K308" s="1" t="s">
        <v>93</v>
      </c>
      <c r="L308" s="1" t="s">
        <v>196</v>
      </c>
      <c r="M308" s="1" t="s">
        <v>1078</v>
      </c>
      <c r="N308" s="1" t="s">
        <v>42</v>
      </c>
      <c r="O308" s="1">
        <v>4</v>
      </c>
      <c r="P308" s="3">
        <v>3673.11</v>
      </c>
      <c r="Q308" s="4">
        <v>0</v>
      </c>
      <c r="R308" s="4">
        <v>0</v>
      </c>
      <c r="S308" s="3">
        <v>14692.44</v>
      </c>
      <c r="T308" s="3">
        <v>10082.19</v>
      </c>
      <c r="U308" s="3">
        <v>4610.25</v>
      </c>
      <c r="V308" s="1" t="s">
        <v>43</v>
      </c>
      <c r="W308" s="1" t="s">
        <v>44</v>
      </c>
      <c r="X308" s="3">
        <f>IF(OR(O308="",P308="",R308=""),"",O308*P308*(1-R308))</f>
        <v>14692.44</v>
      </c>
      <c r="Y308" s="3">
        <f>IF(OR(X308="",T308=""),"",X308-T308)</f>
        <v>4610.25</v>
      </c>
      <c r="Z308" s="4">
        <f>IFERROR(Y308/X308,"")</f>
        <v>0.3138</v>
      </c>
      <c r="AA308" s="1">
        <f>IF(OR(C308="",D308=""),"",D308-C308)</f>
        <v>3</v>
      </c>
      <c r="AB308" s="1">
        <f>IF(C308="","",MONTH(C308))</f>
        <v>2</v>
      </c>
      <c r="AC308" s="1">
        <f>IF(C308="","",YEAR(C308))</f>
        <v>2025</v>
      </c>
      <c r="AD308" s="1" t="s">
        <v>45</v>
      </c>
      <c r="AE308" s="1" t="s">
        <v>46</v>
      </c>
      <c r="AF308" s="1" t="s">
        <v>47</v>
      </c>
    </row>
    <row r="309" spans="1:32" s="15" customFormat="1" x14ac:dyDescent="0.25">
      <c r="A309" s="16">
        <v>309</v>
      </c>
      <c r="B309" s="16" t="s">
        <v>1079</v>
      </c>
      <c r="C309" s="17">
        <v>45849.77083333333</v>
      </c>
      <c r="D309" s="17">
        <v>45856.77083333333</v>
      </c>
      <c r="E309" s="16" t="s">
        <v>1080</v>
      </c>
      <c r="F309" s="16" t="s">
        <v>79</v>
      </c>
      <c r="G309" s="16" t="s">
        <v>109</v>
      </c>
      <c r="H309" s="16" t="s">
        <v>36</v>
      </c>
      <c r="I309" s="16" t="s">
        <v>157</v>
      </c>
      <c r="J309" s="16" t="s">
        <v>158</v>
      </c>
      <c r="K309" s="16" t="s">
        <v>55</v>
      </c>
      <c r="L309" s="16" t="s">
        <v>56</v>
      </c>
      <c r="M309" s="16" t="s">
        <v>1081</v>
      </c>
      <c r="N309" s="16" t="s">
        <v>64</v>
      </c>
      <c r="O309" s="16">
        <v>9</v>
      </c>
      <c r="P309" s="18">
        <v>4093.04</v>
      </c>
      <c r="Q309" s="19">
        <v>0.2</v>
      </c>
      <c r="R309" s="19">
        <v>0.2</v>
      </c>
      <c r="S309" s="18">
        <v>29469.89</v>
      </c>
      <c r="T309" s="18">
        <v>18935.51</v>
      </c>
      <c r="U309" s="18">
        <v>10534.38</v>
      </c>
      <c r="V309" s="16" t="s">
        <v>131</v>
      </c>
      <c r="W309" s="16" t="s">
        <v>85</v>
      </c>
      <c r="X309" s="18">
        <f>IF(OR(O309="",P309="",R309=""),"",O309*P309*(1-R309))</f>
        <v>29469.89</v>
      </c>
      <c r="Y309" s="18">
        <f>IF(OR(X309="",T309=""),"",X309-T309)</f>
        <v>10534.38</v>
      </c>
      <c r="Z309" s="19">
        <f>IFERROR(Y309/X309,"")</f>
        <v>0.3575</v>
      </c>
      <c r="AA309" s="16">
        <f>IF(OR(C309="",D309=""),"",D309-C309)</f>
        <v>7</v>
      </c>
      <c r="AB309" s="16">
        <f>IF(C309="","",MONTH(C309))</f>
        <v>7</v>
      </c>
      <c r="AC309" s="16">
        <f>IF(C309="","",YEAR(C309))</f>
        <v>2025</v>
      </c>
      <c r="AD309" s="16" t="s">
        <v>86</v>
      </c>
      <c r="AE309" s="16" t="s">
        <v>66</v>
      </c>
      <c r="AF309" s="16" t="s">
        <v>255</v>
      </c>
    </row>
    <row r="310" spans="1:32" x14ac:dyDescent="0.25">
      <c r="A310" s="1">
        <v>310</v>
      </c>
      <c r="B310" s="1" t="s">
        <v>1082</v>
      </c>
      <c r="C310" s="2">
        <v>45820.77083333333</v>
      </c>
      <c r="D310" s="2">
        <v>45826.77083333333</v>
      </c>
      <c r="E310" s="1" t="s">
        <v>1083</v>
      </c>
      <c r="F310" s="1" t="s">
        <v>163</v>
      </c>
      <c r="G310" s="1" t="s">
        <v>35</v>
      </c>
      <c r="H310" s="1" t="s">
        <v>36</v>
      </c>
      <c r="I310" s="1" t="s">
        <v>37</v>
      </c>
      <c r="J310" s="1" t="s">
        <v>38</v>
      </c>
      <c r="K310" s="1" t="s">
        <v>55</v>
      </c>
      <c r="L310" s="1" t="s">
        <v>56</v>
      </c>
      <c r="M310" s="1" t="s">
        <v>1084</v>
      </c>
      <c r="N310" s="1" t="s">
        <v>64</v>
      </c>
      <c r="O310" s="1">
        <v>4</v>
      </c>
      <c r="P310" s="3">
        <v>731.57</v>
      </c>
      <c r="Q310" s="4">
        <v>0.2</v>
      </c>
      <c r="R310" s="4">
        <v>0.2</v>
      </c>
      <c r="S310" s="3">
        <v>2341.02</v>
      </c>
      <c r="T310" s="3">
        <v>1565.49</v>
      </c>
      <c r="U310" s="3">
        <v>775.53</v>
      </c>
      <c r="V310" s="1" t="s">
        <v>43</v>
      </c>
      <c r="W310" s="1" t="s">
        <v>44</v>
      </c>
      <c r="X310" s="3">
        <f>IF(OR(O310="",P310="",R310=""),"",O310*P310*(1-R310))</f>
        <v>2341.02</v>
      </c>
      <c r="Y310" s="3">
        <f>IF(OR(X310="",T310=""),"",X310-T310)</f>
        <v>775.53</v>
      </c>
      <c r="Z310" s="4">
        <f>IFERROR(Y310/X310,"")</f>
        <v>0.3313</v>
      </c>
      <c r="AA310" s="1">
        <f>IF(OR(C310="",D310=""),"",D310-C310)</f>
        <v>6</v>
      </c>
      <c r="AB310" s="1">
        <f>IF(C310="","",MONTH(C310))</f>
        <v>6</v>
      </c>
      <c r="AC310" s="1">
        <f>IF(C310="","",YEAR(C310))</f>
        <v>2025</v>
      </c>
      <c r="AD310" s="1" t="s">
        <v>45</v>
      </c>
      <c r="AE310" s="1" t="s">
        <v>46</v>
      </c>
      <c r="AF310" s="1" t="s">
        <v>47</v>
      </c>
    </row>
    <row r="311" spans="1:32" s="15" customFormat="1" x14ac:dyDescent="0.25">
      <c r="A311" s="16">
        <v>311</v>
      </c>
      <c r="B311" s="16" t="s">
        <v>1085</v>
      </c>
      <c r="C311" s="17">
        <v>45492.77083333333</v>
      </c>
      <c r="D311" s="17">
        <v>45494.77083333333</v>
      </c>
      <c r="E311" s="16" t="s">
        <v>1086</v>
      </c>
      <c r="F311" s="16" t="s">
        <v>79</v>
      </c>
      <c r="G311" s="16" t="s">
        <v>35</v>
      </c>
      <c r="H311" s="16" t="s">
        <v>71</v>
      </c>
      <c r="I311" s="16" t="s">
        <v>277</v>
      </c>
      <c r="J311" s="16" t="s">
        <v>278</v>
      </c>
      <c r="K311" s="16" t="s">
        <v>55</v>
      </c>
      <c r="L311" s="16" t="s">
        <v>56</v>
      </c>
      <c r="M311" s="16" t="s">
        <v>1087</v>
      </c>
      <c r="N311" s="16" t="s">
        <v>64</v>
      </c>
      <c r="O311" s="16">
        <v>7</v>
      </c>
      <c r="P311" s="18">
        <v>2060.73</v>
      </c>
      <c r="Q311" s="19">
        <v>0.1</v>
      </c>
      <c r="R311" s="19">
        <v>0.1</v>
      </c>
      <c r="S311" s="18">
        <v>12982.6</v>
      </c>
      <c r="T311" s="18">
        <v>7246.36</v>
      </c>
      <c r="U311" s="18">
        <v>5736.24</v>
      </c>
      <c r="V311" s="16" t="s">
        <v>43</v>
      </c>
      <c r="W311" s="16" t="s">
        <v>85</v>
      </c>
      <c r="X311" s="18">
        <f>IF(OR(O311="",P311="",R311=""),"",O311*P311*(1-R311))</f>
        <v>12982.6</v>
      </c>
      <c r="Y311" s="18">
        <f>IF(OR(X311="",T311=""),"",X311-T311)</f>
        <v>5736.24</v>
      </c>
      <c r="Z311" s="19">
        <f>IFERROR(Y311/X311,"")</f>
        <v>0.4418</v>
      </c>
      <c r="AA311" s="16">
        <f>IF(OR(C311="",D311=""),"",D311-C311)</f>
        <v>2</v>
      </c>
      <c r="AB311" s="16">
        <f>IF(C311="","",MONTH(C311))</f>
        <v>7</v>
      </c>
      <c r="AC311" s="16">
        <f>IF(C311="","",YEAR(C311))</f>
        <v>2024</v>
      </c>
      <c r="AD311" s="16" t="s">
        <v>86</v>
      </c>
      <c r="AE311" s="16" t="s">
        <v>66</v>
      </c>
      <c r="AF311" s="16" t="s">
        <v>87</v>
      </c>
    </row>
    <row r="312" spans="1:32" x14ac:dyDescent="0.25">
      <c r="A312" s="1">
        <v>312</v>
      </c>
      <c r="B312" s="1" t="s">
        <v>1088</v>
      </c>
      <c r="C312" s="2">
        <v>45476.77083333333</v>
      </c>
      <c r="D312" s="2">
        <v>45480.77083333333</v>
      </c>
      <c r="E312" s="1" t="s">
        <v>1089</v>
      </c>
      <c r="F312" s="1" t="s">
        <v>163</v>
      </c>
      <c r="G312" s="1" t="s">
        <v>51</v>
      </c>
      <c r="H312" s="1" t="s">
        <v>71</v>
      </c>
      <c r="I312" s="1" t="s">
        <v>277</v>
      </c>
      <c r="J312" s="1" t="s">
        <v>278</v>
      </c>
      <c r="K312" s="1" t="s">
        <v>93</v>
      </c>
      <c r="L312" s="1" t="s">
        <v>305</v>
      </c>
      <c r="M312" s="1" t="s">
        <v>1090</v>
      </c>
      <c r="N312" s="1" t="s">
        <v>64</v>
      </c>
      <c r="O312" s="1">
        <v>8</v>
      </c>
      <c r="P312" s="3">
        <v>2034.25</v>
      </c>
      <c r="Q312" s="4">
        <v>0</v>
      </c>
      <c r="R312" s="4">
        <v>0</v>
      </c>
      <c r="S312" s="3">
        <v>16274</v>
      </c>
      <c r="T312" s="3">
        <v>9424.25</v>
      </c>
      <c r="U312" s="3">
        <v>6849.75</v>
      </c>
      <c r="V312" s="1" t="s">
        <v>43</v>
      </c>
      <c r="W312" s="1" t="s">
        <v>44</v>
      </c>
      <c r="X312" s="3">
        <f>IF(OR(O312="",P312="",R312=""),"",O312*P312*(1-R312))</f>
        <v>16274</v>
      </c>
      <c r="Y312" s="3">
        <f>IF(OR(X312="",T312=""),"",X312-T312)</f>
        <v>6849.75</v>
      </c>
      <c r="Z312" s="4">
        <f>IFERROR(Y312/X312,"")</f>
        <v>0.4209</v>
      </c>
      <c r="AA312" s="1">
        <f>IF(OR(C312="",D312=""),"",D312-C312)</f>
        <v>4</v>
      </c>
      <c r="AB312" s="1">
        <f>IF(C312="","",MONTH(C312))</f>
        <v>7</v>
      </c>
      <c r="AC312" s="1">
        <f>IF(C312="","",YEAR(C312))</f>
        <v>2024</v>
      </c>
      <c r="AD312" s="1" t="s">
        <v>45</v>
      </c>
      <c r="AE312" s="1" t="s">
        <v>46</v>
      </c>
      <c r="AF312" s="1" t="s">
        <v>47</v>
      </c>
    </row>
    <row r="313" spans="1:32" x14ac:dyDescent="0.25">
      <c r="A313" s="1">
        <v>313</v>
      </c>
      <c r="B313" s="1" t="s">
        <v>1091</v>
      </c>
      <c r="C313" s="2">
        <v>45408.77083333333</v>
      </c>
      <c r="D313" s="2">
        <v>45413.77083333333</v>
      </c>
      <c r="E313" s="1" t="s">
        <v>1092</v>
      </c>
      <c r="F313" s="1" t="s">
        <v>50</v>
      </c>
      <c r="G313" s="1" t="s">
        <v>109</v>
      </c>
      <c r="H313" s="1" t="s">
        <v>71</v>
      </c>
      <c r="I313" s="1" t="s">
        <v>201</v>
      </c>
      <c r="J313" s="1" t="s">
        <v>202</v>
      </c>
      <c r="K313" s="1" t="s">
        <v>39</v>
      </c>
      <c r="L313" s="1" t="s">
        <v>176</v>
      </c>
      <c r="M313" s="1" t="s">
        <v>1093</v>
      </c>
      <c r="N313" s="1" t="s">
        <v>42</v>
      </c>
      <c r="O313" s="1">
        <v>5</v>
      </c>
      <c r="P313" s="3">
        <v>554.04</v>
      </c>
      <c r="Q313" s="4">
        <v>0.1</v>
      </c>
      <c r="R313" s="4">
        <v>0.1</v>
      </c>
      <c r="S313" s="3">
        <v>2493.18</v>
      </c>
      <c r="T313" s="3">
        <v>1764</v>
      </c>
      <c r="U313" s="3">
        <v>729.18</v>
      </c>
      <c r="V313" s="1" t="s">
        <v>43</v>
      </c>
      <c r="W313" s="1" t="s">
        <v>44</v>
      </c>
      <c r="X313" s="3">
        <f>IF(OR(O313="",P313="",R313=""),"",O313*P313*(1-R313))</f>
        <v>2493.18</v>
      </c>
      <c r="Y313" s="3">
        <f>IF(OR(X313="",T313=""),"",X313-T313)</f>
        <v>729.18</v>
      </c>
      <c r="Z313" s="4">
        <f>IFERROR(Y313/X313,"")</f>
        <v>0.2925</v>
      </c>
      <c r="AA313" s="1">
        <f>IF(OR(C313="",D313=""),"",D313-C313)</f>
        <v>5</v>
      </c>
      <c r="AB313" s="1">
        <f>IF(C313="","",MONTH(C313))</f>
        <v>4</v>
      </c>
      <c r="AC313" s="1">
        <f>IF(C313="","",YEAR(C313))</f>
        <v>2024</v>
      </c>
      <c r="AD313" s="1" t="s">
        <v>45</v>
      </c>
      <c r="AE313" s="1" t="s">
        <v>46</v>
      </c>
      <c r="AF313" s="1" t="s">
        <v>47</v>
      </c>
    </row>
    <row r="314" spans="1:32" s="10" customFormat="1" x14ac:dyDescent="0.25">
      <c r="A314" s="11">
        <v>314</v>
      </c>
      <c r="B314" s="11" t="s">
        <v>1094</v>
      </c>
      <c r="C314" s="12">
        <v>45503.77083333333</v>
      </c>
      <c r="D314" s="12">
        <v>45507.77083333333</v>
      </c>
      <c r="E314" s="11" t="s">
        <v>1095</v>
      </c>
      <c r="F314" s="11" t="s">
        <v>34</v>
      </c>
      <c r="G314" s="11" t="s">
        <v>51</v>
      </c>
      <c r="H314" s="11" t="s">
        <v>52</v>
      </c>
      <c r="I314" s="11" t="s">
        <v>191</v>
      </c>
      <c r="J314" s="11" t="s">
        <v>192</v>
      </c>
      <c r="K314" s="11" t="s">
        <v>93</v>
      </c>
      <c r="L314" s="11" t="s">
        <v>196</v>
      </c>
      <c r="M314" s="11" t="s">
        <v>1096</v>
      </c>
      <c r="N314" s="11" t="s">
        <v>76</v>
      </c>
      <c r="O314" s="11">
        <v>8</v>
      </c>
      <c r="P314" s="13">
        <v>2614.74</v>
      </c>
      <c r="Q314" s="14"/>
      <c r="R314" s="14">
        <v>0</v>
      </c>
      <c r="S314" s="13">
        <v>15688.44</v>
      </c>
      <c r="T314" s="13">
        <v>10047.33</v>
      </c>
      <c r="U314" s="13">
        <v>5641.11</v>
      </c>
      <c r="V314" s="11" t="s">
        <v>43</v>
      </c>
      <c r="W314" s="11" t="s">
        <v>85</v>
      </c>
      <c r="X314" s="13">
        <f>IF(OR(O314="",P314="",R314=""),"",O314*P314*(1-R314))</f>
        <v>20917.92</v>
      </c>
      <c r="Y314" s="13">
        <f>IF(OR(X314="",T314=""),"",X314-T314)</f>
        <v>10870.59</v>
      </c>
      <c r="Z314" s="14">
        <f>IFERROR(Y314/X314,"")</f>
        <v>0.5197</v>
      </c>
      <c r="AA314" s="11">
        <f>IF(OR(C314="",D314=""),"",D314-C314)</f>
        <v>4</v>
      </c>
      <c r="AB314" s="11">
        <f>IF(C314="","",MONTH(C314))</f>
        <v>7</v>
      </c>
      <c r="AC314" s="11">
        <f>IF(C314="","",YEAR(C314))</f>
        <v>2024</v>
      </c>
      <c r="AD314" s="11" t="s">
        <v>65</v>
      </c>
      <c r="AE314" s="11" t="s">
        <v>66</v>
      </c>
      <c r="AF314" s="11" t="s">
        <v>468</v>
      </c>
    </row>
    <row r="315" spans="1:32" s="15" customFormat="1" x14ac:dyDescent="0.25">
      <c r="A315" s="16">
        <v>315</v>
      </c>
      <c r="B315" s="16" t="s">
        <v>1097</v>
      </c>
      <c r="C315" s="17">
        <v>45806.77083333333</v>
      </c>
      <c r="D315" s="17">
        <v>45807.77083333333</v>
      </c>
      <c r="E315" s="16" t="s">
        <v>1098</v>
      </c>
      <c r="F315" s="16" t="s">
        <v>139</v>
      </c>
      <c r="G315" s="16" t="s">
        <v>109</v>
      </c>
      <c r="H315" s="16" t="s">
        <v>36</v>
      </c>
      <c r="I315" s="16" t="s">
        <v>157</v>
      </c>
      <c r="J315" s="16" t="s">
        <v>158</v>
      </c>
      <c r="K315" s="16" t="s">
        <v>93</v>
      </c>
      <c r="L315" s="16" t="s">
        <v>196</v>
      </c>
      <c r="M315" s="16" t="s">
        <v>1099</v>
      </c>
      <c r="N315" s="16" t="s">
        <v>64</v>
      </c>
      <c r="O315" s="16">
        <v>8</v>
      </c>
      <c r="P315" s="18">
        <v>2081.43</v>
      </c>
      <c r="Q315" s="19">
        <v>0.25</v>
      </c>
      <c r="R315" s="19">
        <v>0.25</v>
      </c>
      <c r="S315" s="18">
        <v>12488.58</v>
      </c>
      <c r="T315" s="18">
        <v>10717.4</v>
      </c>
      <c r="U315" s="18">
        <v>1771.18</v>
      </c>
      <c r="V315" s="16" t="s">
        <v>121</v>
      </c>
      <c r="W315" s="16" t="s">
        <v>85</v>
      </c>
      <c r="X315" s="18">
        <f>IF(OR(O315="",P315="",R315=""),"",O315*P315*(1-R315))</f>
        <v>12488.58</v>
      </c>
      <c r="Y315" s="18">
        <f>IF(OR(X315="",T315=""),"",X315-T315)</f>
        <v>1771.18</v>
      </c>
      <c r="Z315" s="19">
        <f>IFERROR(Y315/X315,"")</f>
        <v>0.1418</v>
      </c>
      <c r="AA315" s="16">
        <f>IF(OR(C315="",D315=""),"",D315-C315)</f>
        <v>1</v>
      </c>
      <c r="AB315" s="16">
        <f>IF(C315="","",MONTH(C315))</f>
        <v>5</v>
      </c>
      <c r="AC315" s="16">
        <f>IF(C315="","",YEAR(C315))</f>
        <v>2025</v>
      </c>
      <c r="AD315" s="16" t="s">
        <v>86</v>
      </c>
      <c r="AE315" s="16" t="s">
        <v>66</v>
      </c>
      <c r="AF315" s="16" t="s">
        <v>160</v>
      </c>
    </row>
    <row r="316" spans="1:32" s="10" customFormat="1" x14ac:dyDescent="0.25">
      <c r="A316" s="11">
        <v>316</v>
      </c>
      <c r="B316" s="11" t="s">
        <v>1100</v>
      </c>
      <c r="C316" s="12">
        <v>45794.77083333333</v>
      </c>
      <c r="D316" s="12">
        <v>45796.77083333333</v>
      </c>
      <c r="E316" s="11" t="s">
        <v>1101</v>
      </c>
      <c r="F316" s="11" t="s">
        <v>61</v>
      </c>
      <c r="G316" s="11" t="s">
        <v>109</v>
      </c>
      <c r="H316" s="11" t="s">
        <v>80</v>
      </c>
      <c r="I316" s="11" t="s">
        <v>91</v>
      </c>
      <c r="J316" s="11" t="s">
        <v>92</v>
      </c>
      <c r="K316" s="11" t="s">
        <v>39</v>
      </c>
      <c r="L316" s="11" t="s">
        <v>110</v>
      </c>
      <c r="M316" s="11" t="s">
        <v>1102</v>
      </c>
      <c r="N316" s="11" t="s">
        <v>76</v>
      </c>
      <c r="O316" s="11">
        <v>9</v>
      </c>
      <c r="P316" s="13">
        <v>847.76</v>
      </c>
      <c r="Q316" s="14">
        <v>0.15</v>
      </c>
      <c r="R316" s="14">
        <v>0.15</v>
      </c>
      <c r="S316" s="13">
        <v>6485.36</v>
      </c>
      <c r="T316" s="13">
        <v>5376.17</v>
      </c>
      <c r="U316" s="13">
        <v>1109.19</v>
      </c>
      <c r="V316" s="11" t="s">
        <v>178</v>
      </c>
      <c r="W316" s="11" t="s">
        <v>122</v>
      </c>
      <c r="X316" s="13">
        <f>IF(OR(O316="",P316="",R316=""),"",O316*P316*(1-R316))</f>
        <v>6485.36</v>
      </c>
      <c r="Y316" s="13">
        <f>IF(OR(X316="",T316=""),"",X316-T316)</f>
        <v>1109.19</v>
      </c>
      <c r="Z316" s="14">
        <f>IFERROR(Y316/X316,"")</f>
        <v>0.171</v>
      </c>
      <c r="AA316" s="11">
        <f>IF(OR(C316="",D316=""),"",D316-C316)</f>
        <v>2</v>
      </c>
      <c r="AB316" s="11">
        <f>IF(C316="","",MONTH(C316))</f>
        <v>5</v>
      </c>
      <c r="AC316" s="11">
        <f>IF(C316="","",YEAR(C316))</f>
        <v>2025</v>
      </c>
      <c r="AD316" s="11" t="s">
        <v>65</v>
      </c>
      <c r="AE316" s="11" t="s">
        <v>66</v>
      </c>
      <c r="AF316" s="11" t="s">
        <v>1103</v>
      </c>
    </row>
    <row r="317" spans="1:32" s="15" customFormat="1" x14ac:dyDescent="0.25">
      <c r="A317" s="16">
        <v>317</v>
      </c>
      <c r="B317" s="16" t="s">
        <v>1104</v>
      </c>
      <c r="C317" s="17">
        <v>45474.77083333333</v>
      </c>
      <c r="D317" s="17">
        <v>45480.77083333333</v>
      </c>
      <c r="E317" s="16" t="s">
        <v>1105</v>
      </c>
      <c r="F317" s="16" t="s">
        <v>163</v>
      </c>
      <c r="G317" s="16" t="s">
        <v>35</v>
      </c>
      <c r="H317" s="16" t="s">
        <v>36</v>
      </c>
      <c r="I317" s="16" t="s">
        <v>384</v>
      </c>
      <c r="J317" s="16" t="s">
        <v>385</v>
      </c>
      <c r="K317" s="16" t="s">
        <v>39</v>
      </c>
      <c r="L317" s="16" t="s">
        <v>40</v>
      </c>
      <c r="M317" s="16" t="s">
        <v>1106</v>
      </c>
      <c r="N317" s="16" t="s">
        <v>76</v>
      </c>
      <c r="O317" s="16">
        <v>9</v>
      </c>
      <c r="P317" s="18">
        <v>3450.4</v>
      </c>
      <c r="Q317" s="19">
        <v>0.05</v>
      </c>
      <c r="R317" s="19">
        <v>0.05</v>
      </c>
      <c r="S317" s="18">
        <v>29500.92</v>
      </c>
      <c r="T317" s="18">
        <v>17989.68</v>
      </c>
      <c r="U317" s="18">
        <v>11511.24</v>
      </c>
      <c r="V317" s="16" t="s">
        <v>131</v>
      </c>
      <c r="W317" s="16" t="s">
        <v>122</v>
      </c>
      <c r="X317" s="18">
        <f>IF(OR(O317="",P317="",R317=""),"",O317*P317*(1-R317))</f>
        <v>29500.92</v>
      </c>
      <c r="Y317" s="18">
        <f>IF(OR(X317="",T317=""),"",X317-T317)</f>
        <v>11511.24</v>
      </c>
      <c r="Z317" s="19">
        <f>IFERROR(Y317/X317,"")</f>
        <v>0.3902</v>
      </c>
      <c r="AA317" s="16">
        <f>IF(OR(C317="",D317=""),"",D317-C317)</f>
        <v>6</v>
      </c>
      <c r="AB317" s="16">
        <f>IF(C317="","",MONTH(C317))</f>
        <v>7</v>
      </c>
      <c r="AC317" s="16">
        <f>IF(C317="","",YEAR(C317))</f>
        <v>2024</v>
      </c>
      <c r="AD317" s="16" t="s">
        <v>86</v>
      </c>
      <c r="AE317" s="16" t="s">
        <v>66</v>
      </c>
      <c r="AF317" s="16" t="s">
        <v>132</v>
      </c>
    </row>
    <row r="318" spans="1:32" s="15" customFormat="1" x14ac:dyDescent="0.25">
      <c r="A318" s="16">
        <v>318</v>
      </c>
      <c r="B318" s="16" t="s">
        <v>1107</v>
      </c>
      <c r="C318" s="17">
        <v>45337.77083333333</v>
      </c>
      <c r="D318" s="17">
        <v>45339.77083333333</v>
      </c>
      <c r="E318" s="16" t="s">
        <v>1108</v>
      </c>
      <c r="F318" s="16" t="s">
        <v>34</v>
      </c>
      <c r="G318" s="16" t="s">
        <v>109</v>
      </c>
      <c r="H318" s="16" t="s">
        <v>36</v>
      </c>
      <c r="I318" s="16" t="s">
        <v>143</v>
      </c>
      <c r="J318" s="16" t="s">
        <v>144</v>
      </c>
      <c r="K318" s="16" t="s">
        <v>39</v>
      </c>
      <c r="L318" s="16" t="s">
        <v>110</v>
      </c>
      <c r="M318" s="16" t="s">
        <v>1109</v>
      </c>
      <c r="N318" s="16" t="s">
        <v>76</v>
      </c>
      <c r="O318" s="16">
        <v>2</v>
      </c>
      <c r="P318" s="18">
        <v>1947.53</v>
      </c>
      <c r="Q318" s="19">
        <v>0.2</v>
      </c>
      <c r="R318" s="19">
        <v>0.2</v>
      </c>
      <c r="S318" s="18">
        <v>3116.05</v>
      </c>
      <c r="T318" s="18">
        <v>1956.63</v>
      </c>
      <c r="U318" s="18">
        <v>1159.42</v>
      </c>
      <c r="V318" s="16" t="s">
        <v>43</v>
      </c>
      <c r="W318" s="16" t="s">
        <v>85</v>
      </c>
      <c r="X318" s="18">
        <f>IF(OR(O318="",P318="",R318=""),"",O318*P318*(1-R318))</f>
        <v>3116.05</v>
      </c>
      <c r="Y318" s="18">
        <f>IF(OR(X318="",T318=""),"",X318-T318)</f>
        <v>1159.42</v>
      </c>
      <c r="Z318" s="19">
        <f>IFERROR(Y318/X318,"")</f>
        <v>0.3721</v>
      </c>
      <c r="AA318" s="16">
        <f>IF(OR(C318="",D318=""),"",D318-C318)</f>
        <v>2</v>
      </c>
      <c r="AB318" s="16">
        <f>IF(C318="","",MONTH(C318))</f>
        <v>2</v>
      </c>
      <c r="AC318" s="16">
        <f>IF(C318="","",YEAR(C318))</f>
        <v>2024</v>
      </c>
      <c r="AD318" s="16" t="s">
        <v>86</v>
      </c>
      <c r="AE318" s="16" t="s">
        <v>66</v>
      </c>
      <c r="AF318" s="16" t="s">
        <v>87</v>
      </c>
    </row>
    <row r="319" spans="1:32" x14ac:dyDescent="0.25">
      <c r="A319" s="1">
        <v>319</v>
      </c>
      <c r="B319" s="1" t="s">
        <v>1110</v>
      </c>
      <c r="C319" s="2">
        <v>45897.77083333333</v>
      </c>
      <c r="D319" s="2">
        <v>45903.77083333333</v>
      </c>
      <c r="E319" s="1" t="s">
        <v>1111</v>
      </c>
      <c r="F319" s="1" t="s">
        <v>98</v>
      </c>
      <c r="G319" s="1" t="s">
        <v>109</v>
      </c>
      <c r="H319" s="1" t="s">
        <v>71</v>
      </c>
      <c r="I319" s="1" t="s">
        <v>211</v>
      </c>
      <c r="J319" s="1" t="s">
        <v>212</v>
      </c>
      <c r="K319" s="1" t="s">
        <v>55</v>
      </c>
      <c r="L319" s="1" t="s">
        <v>56</v>
      </c>
      <c r="M319" s="1" t="s">
        <v>1112</v>
      </c>
      <c r="N319" s="1" t="s">
        <v>64</v>
      </c>
      <c r="O319" s="1">
        <v>9</v>
      </c>
      <c r="P319" s="3">
        <v>2996.97</v>
      </c>
      <c r="Q319" s="4">
        <v>0.15</v>
      </c>
      <c r="R319" s="4">
        <v>0.15</v>
      </c>
      <c r="S319" s="3">
        <v>22926.82</v>
      </c>
      <c r="T319" s="3">
        <v>14621.59</v>
      </c>
      <c r="U319" s="3">
        <v>8305.23</v>
      </c>
      <c r="V319" s="1" t="s">
        <v>43</v>
      </c>
      <c r="W319" s="1" t="s">
        <v>44</v>
      </c>
      <c r="X319" s="3">
        <f>IF(OR(O319="",P319="",R319=""),"",O319*P319*(1-R319))</f>
        <v>22926.82</v>
      </c>
      <c r="Y319" s="3">
        <f>IF(OR(X319="",T319=""),"",X319-T319)</f>
        <v>8305.23</v>
      </c>
      <c r="Z319" s="4">
        <f>IFERROR(Y319/X319,"")</f>
        <v>0.3622</v>
      </c>
      <c r="AA319" s="1">
        <f>IF(OR(C319="",D319=""),"",D319-C319)</f>
        <v>6</v>
      </c>
      <c r="AB319" s="1">
        <f>IF(C319="","",MONTH(C319))</f>
        <v>8</v>
      </c>
      <c r="AC319" s="1">
        <f>IF(C319="","",YEAR(C319))</f>
        <v>2025</v>
      </c>
      <c r="AD319" s="1" t="s">
        <v>45</v>
      </c>
      <c r="AE319" s="1" t="s">
        <v>46</v>
      </c>
      <c r="AF319" s="1" t="s">
        <v>47</v>
      </c>
    </row>
    <row r="320" spans="1:32" x14ac:dyDescent="0.25">
      <c r="A320" s="1">
        <v>320</v>
      </c>
      <c r="B320" s="1" t="s">
        <v>1113</v>
      </c>
      <c r="C320" s="2">
        <v>45406.77083333333</v>
      </c>
      <c r="D320" s="2">
        <v>45411.77083333333</v>
      </c>
      <c r="E320" s="1" t="s">
        <v>1114</v>
      </c>
      <c r="F320" s="1" t="s">
        <v>50</v>
      </c>
      <c r="G320" s="1" t="s">
        <v>51</v>
      </c>
      <c r="H320" s="1" t="s">
        <v>71</v>
      </c>
      <c r="I320" s="1" t="s">
        <v>201</v>
      </c>
      <c r="J320" s="1" t="s">
        <v>202</v>
      </c>
      <c r="K320" s="1" t="s">
        <v>93</v>
      </c>
      <c r="L320" s="1" t="s">
        <v>196</v>
      </c>
      <c r="M320" s="1" t="s">
        <v>1115</v>
      </c>
      <c r="N320" s="1" t="s">
        <v>76</v>
      </c>
      <c r="O320" s="1">
        <v>3</v>
      </c>
      <c r="P320" s="3">
        <v>4149.46</v>
      </c>
      <c r="Q320" s="4">
        <v>0.1</v>
      </c>
      <c r="R320" s="4">
        <v>0.1</v>
      </c>
      <c r="S320" s="3">
        <v>11203.54</v>
      </c>
      <c r="T320" s="3">
        <v>8452.93</v>
      </c>
      <c r="U320" s="3">
        <v>2750.61</v>
      </c>
      <c r="V320" s="1" t="s">
        <v>43</v>
      </c>
      <c r="W320" s="1" t="s">
        <v>44</v>
      </c>
      <c r="X320" s="3">
        <f>IF(OR(O320="",P320="",R320=""),"",O320*P320*(1-R320))</f>
        <v>11203.54</v>
      </c>
      <c r="Y320" s="3">
        <f>IF(OR(X320="",T320=""),"",X320-T320)</f>
        <v>2750.61</v>
      </c>
      <c r="Z320" s="4">
        <f>IFERROR(Y320/X320,"")</f>
        <v>0.2455</v>
      </c>
      <c r="AA320" s="1">
        <f>IF(OR(C320="",D320=""),"",D320-C320)</f>
        <v>5</v>
      </c>
      <c r="AB320" s="1">
        <f>IF(C320="","",MONTH(C320))</f>
        <v>4</v>
      </c>
      <c r="AC320" s="1">
        <f>IF(C320="","",YEAR(C320))</f>
        <v>2024</v>
      </c>
      <c r="AD320" s="1" t="s">
        <v>45</v>
      </c>
      <c r="AE320" s="1" t="s">
        <v>46</v>
      </c>
      <c r="AF320" s="1" t="s">
        <v>47</v>
      </c>
    </row>
    <row r="321" spans="1:32" x14ac:dyDescent="0.25">
      <c r="A321" s="1">
        <v>321</v>
      </c>
      <c r="B321" s="1" t="s">
        <v>1116</v>
      </c>
      <c r="C321" s="2">
        <v>45524.77083333333</v>
      </c>
      <c r="D321" s="2">
        <v>45528.77083333333</v>
      </c>
      <c r="E321" s="1" t="s">
        <v>1117</v>
      </c>
      <c r="F321" s="1" t="s">
        <v>186</v>
      </c>
      <c r="G321" s="1" t="s">
        <v>35</v>
      </c>
      <c r="H321" s="1" t="s">
        <v>80</v>
      </c>
      <c r="I321" s="1" t="s">
        <v>206</v>
      </c>
      <c r="J321" s="1" t="s">
        <v>207</v>
      </c>
      <c r="K321" s="1" t="s">
        <v>39</v>
      </c>
      <c r="L321" s="1" t="s">
        <v>176</v>
      </c>
      <c r="M321" s="1" t="s">
        <v>1118</v>
      </c>
      <c r="N321" s="1" t="s">
        <v>64</v>
      </c>
      <c r="O321" s="1">
        <v>1</v>
      </c>
      <c r="P321" s="3">
        <v>270.28</v>
      </c>
      <c r="Q321" s="4">
        <v>0</v>
      </c>
      <c r="R321" s="4">
        <v>0</v>
      </c>
      <c r="S321" s="3">
        <v>270.28</v>
      </c>
      <c r="T321" s="3">
        <v>156.34</v>
      </c>
      <c r="U321" s="3">
        <v>113.94</v>
      </c>
      <c r="V321" s="1" t="s">
        <v>43</v>
      </c>
      <c r="W321" s="1" t="s">
        <v>44</v>
      </c>
      <c r="X321" s="3">
        <f>IF(OR(O321="",P321="",R321=""),"",O321*P321*(1-R321))</f>
        <v>270.28</v>
      </c>
      <c r="Y321" s="3">
        <f>IF(OR(X321="",T321=""),"",X321-T321)</f>
        <v>113.94</v>
      </c>
      <c r="Z321" s="4">
        <f>IFERROR(Y321/X321,"")</f>
        <v>0.4216</v>
      </c>
      <c r="AA321" s="1">
        <f>IF(OR(C321="",D321=""),"",D321-C321)</f>
        <v>4</v>
      </c>
      <c r="AB321" s="1">
        <f>IF(C321="","",MONTH(C321))</f>
        <v>8</v>
      </c>
      <c r="AC321" s="1">
        <f>IF(C321="","",YEAR(C321))</f>
        <v>2024</v>
      </c>
      <c r="AD321" s="1" t="s">
        <v>45</v>
      </c>
      <c r="AE321" s="1" t="s">
        <v>46</v>
      </c>
      <c r="AF321" s="1" t="s">
        <v>47</v>
      </c>
    </row>
    <row r="322" spans="1:32" s="15" customFormat="1" x14ac:dyDescent="0.25">
      <c r="A322" s="16">
        <v>322</v>
      </c>
      <c r="B322" s="16" t="s">
        <v>1119</v>
      </c>
      <c r="C322" s="17">
        <v>45629.77083333333</v>
      </c>
      <c r="D322" s="17">
        <v>45631.77083333333</v>
      </c>
      <c r="E322" s="16" t="s">
        <v>1120</v>
      </c>
      <c r="F322" s="16" t="s">
        <v>149</v>
      </c>
      <c r="G322" s="16" t="s">
        <v>114</v>
      </c>
      <c r="H322" s="16" t="s">
        <v>52</v>
      </c>
      <c r="I322" s="16" t="s">
        <v>118</v>
      </c>
      <c r="J322" s="16" t="s">
        <v>119</v>
      </c>
      <c r="K322" s="16" t="s">
        <v>39</v>
      </c>
      <c r="L322" s="16" t="s">
        <v>62</v>
      </c>
      <c r="M322" s="16" t="s">
        <v>1121</v>
      </c>
      <c r="N322" s="16" t="s">
        <v>42</v>
      </c>
      <c r="O322" s="16">
        <v>3</v>
      </c>
      <c r="P322" s="18">
        <v>876.14</v>
      </c>
      <c r="Q322" s="19"/>
      <c r="R322" s="19">
        <v>0</v>
      </c>
      <c r="S322" s="18">
        <v>2628.42</v>
      </c>
      <c r="T322" s="18">
        <v>1541.54</v>
      </c>
      <c r="U322" s="18">
        <v>1086.88</v>
      </c>
      <c r="V322" s="16" t="s">
        <v>131</v>
      </c>
      <c r="W322" s="16" t="s">
        <v>122</v>
      </c>
      <c r="X322" s="18">
        <f>IF(OR(O322="",P322="",R322=""),"",O322*P322*(1-R322))</f>
        <v>2628.42</v>
      </c>
      <c r="Y322" s="18">
        <f>IF(OR(X322="",T322=""),"",X322-T322)</f>
        <v>1086.88</v>
      </c>
      <c r="Z322" s="19">
        <f>IFERROR(Y322/X322,"")</f>
        <v>0.4135</v>
      </c>
      <c r="AA322" s="16">
        <f>IF(OR(C322="",D322=""),"",D322-C322)</f>
        <v>2</v>
      </c>
      <c r="AB322" s="16">
        <f>IF(C322="","",MONTH(C322))</f>
        <v>12</v>
      </c>
      <c r="AC322" s="16">
        <f>IF(C322="","",YEAR(C322))</f>
        <v>2024</v>
      </c>
      <c r="AD322" s="16" t="s">
        <v>86</v>
      </c>
      <c r="AE322" s="16" t="s">
        <v>66</v>
      </c>
      <c r="AF322" s="16" t="s">
        <v>1122</v>
      </c>
    </row>
    <row r="323" spans="1:32" s="15" customFormat="1" x14ac:dyDescent="0.25">
      <c r="A323" s="16">
        <v>323</v>
      </c>
      <c r="B323" s="16" t="s">
        <v>1123</v>
      </c>
      <c r="C323" s="17">
        <v>45465.77083333333</v>
      </c>
      <c r="D323" s="17">
        <v>45472.77083333333</v>
      </c>
      <c r="E323" s="16" t="s">
        <v>1124</v>
      </c>
      <c r="F323" s="16" t="s">
        <v>98</v>
      </c>
      <c r="G323" s="16" t="s">
        <v>51</v>
      </c>
      <c r="H323" s="16" t="s">
        <v>80</v>
      </c>
      <c r="I323" s="16" t="s">
        <v>216</v>
      </c>
      <c r="J323" s="16" t="s">
        <v>217</v>
      </c>
      <c r="K323" s="16" t="s">
        <v>93</v>
      </c>
      <c r="L323" s="16" t="s">
        <v>94</v>
      </c>
      <c r="M323" s="16" t="s">
        <v>1125</v>
      </c>
      <c r="N323" s="16" t="s">
        <v>58</v>
      </c>
      <c r="O323" s="16">
        <v>4</v>
      </c>
      <c r="P323" s="18">
        <v>674.82</v>
      </c>
      <c r="Q323" s="19">
        <v>0</v>
      </c>
      <c r="R323" s="19">
        <v>0</v>
      </c>
      <c r="S323" s="18">
        <v>2699.28</v>
      </c>
      <c r="T323" s="18">
        <v>1759.76</v>
      </c>
      <c r="U323" s="18">
        <v>939.52</v>
      </c>
      <c r="V323" s="16" t="s">
        <v>178</v>
      </c>
      <c r="W323" s="16" t="s">
        <v>85</v>
      </c>
      <c r="X323" s="18">
        <f>IF(OR(O323="",P323="",R323=""),"",O323*P323*(1-R323))</f>
        <v>2699.28</v>
      </c>
      <c r="Y323" s="18">
        <f>IF(OR(X323="",T323=""),"",X323-T323)</f>
        <v>939.52</v>
      </c>
      <c r="Z323" s="19">
        <f>IFERROR(Y323/X323,"")</f>
        <v>0.3481</v>
      </c>
      <c r="AA323" s="16">
        <f>IF(OR(C323="",D323=""),"",D323-C323)</f>
        <v>7</v>
      </c>
      <c r="AB323" s="16">
        <f>IF(C323="","",MONTH(C323))</f>
        <v>6</v>
      </c>
      <c r="AC323" s="16">
        <f>IF(C323="","",YEAR(C323))</f>
        <v>2024</v>
      </c>
      <c r="AD323" s="16" t="s">
        <v>86</v>
      </c>
      <c r="AE323" s="16" t="s">
        <v>66</v>
      </c>
      <c r="AF323" s="16" t="s">
        <v>296</v>
      </c>
    </row>
    <row r="324" spans="1:32" x14ac:dyDescent="0.25">
      <c r="A324" s="1">
        <v>324</v>
      </c>
      <c r="B324" s="1" t="s">
        <v>1126</v>
      </c>
      <c r="C324" s="2">
        <v>45607.77083333333</v>
      </c>
      <c r="D324" s="2">
        <v>45607.77083333333</v>
      </c>
      <c r="E324" s="1" t="s">
        <v>1127</v>
      </c>
      <c r="F324" s="1" t="s">
        <v>61</v>
      </c>
      <c r="G324" s="1" t="s">
        <v>35</v>
      </c>
      <c r="H324" s="1" t="s">
        <v>36</v>
      </c>
      <c r="I324" s="1" t="s">
        <v>157</v>
      </c>
      <c r="J324" s="1" t="s">
        <v>158</v>
      </c>
      <c r="K324" s="1" t="s">
        <v>93</v>
      </c>
      <c r="L324" s="1" t="s">
        <v>196</v>
      </c>
      <c r="M324" s="1" t="s">
        <v>1128</v>
      </c>
      <c r="N324" s="1" t="s">
        <v>42</v>
      </c>
      <c r="O324" s="1">
        <v>6</v>
      </c>
      <c r="P324" s="3">
        <v>1369.48</v>
      </c>
      <c r="Q324" s="4">
        <v>0.15</v>
      </c>
      <c r="R324" s="4">
        <v>0.15</v>
      </c>
      <c r="S324" s="3">
        <v>6984.35</v>
      </c>
      <c r="T324" s="3">
        <v>4023.63</v>
      </c>
      <c r="U324" s="3">
        <v>2960.72</v>
      </c>
      <c r="V324" s="1" t="s">
        <v>43</v>
      </c>
      <c r="W324" s="1" t="s">
        <v>44</v>
      </c>
      <c r="X324" s="3">
        <f>IF(OR(O324="",P324="",R324=""),"",O324*P324*(1-R324))</f>
        <v>6984.35</v>
      </c>
      <c r="Y324" s="3">
        <f>IF(OR(X324="",T324=""),"",X324-T324)</f>
        <v>2960.72</v>
      </c>
      <c r="Z324" s="4">
        <f>IFERROR(Y324/X324,"")</f>
        <v>0.4239</v>
      </c>
      <c r="AA324" s="1">
        <f>IF(OR(C324="",D324=""),"",D324-C324)</f>
        <v>0</v>
      </c>
      <c r="AB324" s="1">
        <f>IF(C324="","",MONTH(C324))</f>
        <v>11</v>
      </c>
      <c r="AC324" s="1">
        <f>IF(C324="","",YEAR(C324))</f>
        <v>2024</v>
      </c>
      <c r="AD324" s="1" t="s">
        <v>45</v>
      </c>
      <c r="AE324" s="1" t="s">
        <v>46</v>
      </c>
      <c r="AF324" s="1" t="s">
        <v>47</v>
      </c>
    </row>
    <row r="325" spans="1:32" x14ac:dyDescent="0.25">
      <c r="A325" s="1">
        <v>325</v>
      </c>
      <c r="B325" s="1" t="s">
        <v>1129</v>
      </c>
      <c r="C325" s="2">
        <v>45346.77083333333</v>
      </c>
      <c r="D325" s="2">
        <v>45350.77083333333</v>
      </c>
      <c r="E325" s="1" t="s">
        <v>1130</v>
      </c>
      <c r="F325" s="1" t="s">
        <v>61</v>
      </c>
      <c r="G325" s="1" t="s">
        <v>51</v>
      </c>
      <c r="H325" s="1" t="s">
        <v>80</v>
      </c>
      <c r="I325" s="1" t="s">
        <v>216</v>
      </c>
      <c r="J325" s="1" t="s">
        <v>217</v>
      </c>
      <c r="K325" s="1" t="s">
        <v>55</v>
      </c>
      <c r="L325" s="1" t="s">
        <v>74</v>
      </c>
      <c r="M325" s="1" t="s">
        <v>173</v>
      </c>
      <c r="N325" s="1" t="s">
        <v>76</v>
      </c>
      <c r="O325" s="1">
        <v>9</v>
      </c>
      <c r="P325" s="3">
        <v>1331.46</v>
      </c>
      <c r="Q325" s="4">
        <v>0.15</v>
      </c>
      <c r="R325" s="4">
        <v>0.15</v>
      </c>
      <c r="S325" s="3">
        <v>10185.67</v>
      </c>
      <c r="T325" s="3">
        <v>6479.31</v>
      </c>
      <c r="U325" s="3">
        <v>3706.36</v>
      </c>
      <c r="V325" s="1" t="s">
        <v>43</v>
      </c>
      <c r="W325" s="1" t="s">
        <v>44</v>
      </c>
      <c r="X325" s="3">
        <f>IF(OR(O325="",P325="",R325=""),"",O325*P325*(1-R325))</f>
        <v>10185.67</v>
      </c>
      <c r="Y325" s="3">
        <f>IF(OR(X325="",T325=""),"",X325-T325)</f>
        <v>3706.36</v>
      </c>
      <c r="Z325" s="4">
        <f>IFERROR(Y325/X325,"")</f>
        <v>0.3639</v>
      </c>
      <c r="AA325" s="1">
        <f>IF(OR(C325="",D325=""),"",D325-C325)</f>
        <v>4</v>
      </c>
      <c r="AB325" s="1">
        <f>IF(C325="","",MONTH(C325))</f>
        <v>2</v>
      </c>
      <c r="AC325" s="1">
        <f>IF(C325="","",YEAR(C325))</f>
        <v>2024</v>
      </c>
      <c r="AD325" s="1" t="s">
        <v>45</v>
      </c>
      <c r="AE325" s="1" t="s">
        <v>46</v>
      </c>
      <c r="AF325" s="1" t="s">
        <v>47</v>
      </c>
    </row>
    <row r="326" spans="1:32" s="15" customFormat="1" x14ac:dyDescent="0.25">
      <c r="A326" s="16">
        <v>326</v>
      </c>
      <c r="B326" s="16" t="s">
        <v>1131</v>
      </c>
      <c r="C326" s="17">
        <v>45868.77083333333</v>
      </c>
      <c r="D326" s="17">
        <v>45870.77083333333</v>
      </c>
      <c r="E326" s="16" t="s">
        <v>1132</v>
      </c>
      <c r="F326" s="16" t="s">
        <v>163</v>
      </c>
      <c r="G326" s="16" t="s">
        <v>114</v>
      </c>
      <c r="H326" s="16" t="s">
        <v>71</v>
      </c>
      <c r="I326" s="16" t="s">
        <v>103</v>
      </c>
      <c r="J326" s="16" t="s">
        <v>104</v>
      </c>
      <c r="K326" s="16" t="s">
        <v>39</v>
      </c>
      <c r="L326" s="16" t="s">
        <v>110</v>
      </c>
      <c r="M326" s="16" t="s">
        <v>1133</v>
      </c>
      <c r="N326" s="16" t="s">
        <v>58</v>
      </c>
      <c r="O326" s="16">
        <v>1</v>
      </c>
      <c r="P326" s="18">
        <v>1947.88</v>
      </c>
      <c r="Q326" s="19">
        <v>0.15</v>
      </c>
      <c r="R326" s="19">
        <v>0.15</v>
      </c>
      <c r="S326" s="18">
        <v>1655.7</v>
      </c>
      <c r="T326" s="18">
        <v>1354.8</v>
      </c>
      <c r="U326" s="18">
        <v>300.9</v>
      </c>
      <c r="V326" s="16" t="s">
        <v>43</v>
      </c>
      <c r="W326" s="16" t="s">
        <v>122</v>
      </c>
      <c r="X326" s="18">
        <f>IF(OR(O326="",P326="",R326=""),"",O326*P326*(1-R326))</f>
        <v>1655.7</v>
      </c>
      <c r="Y326" s="18">
        <f>IF(OR(X326="",T326=""),"",X326-T326)</f>
        <v>300.9</v>
      </c>
      <c r="Z326" s="19">
        <f>IFERROR(Y326/X326,"")</f>
        <v>0.1817</v>
      </c>
      <c r="AA326" s="16">
        <f>IF(OR(C326="",D326=""),"",D326-C326)</f>
        <v>2</v>
      </c>
      <c r="AB326" s="16">
        <f>IF(C326="","",MONTH(C326))</f>
        <v>7</v>
      </c>
      <c r="AC326" s="16">
        <f>IF(C326="","",YEAR(C326))</f>
        <v>2025</v>
      </c>
      <c r="AD326" s="16" t="s">
        <v>86</v>
      </c>
      <c r="AE326" s="16" t="s">
        <v>66</v>
      </c>
      <c r="AF326" s="16" t="s">
        <v>198</v>
      </c>
    </row>
    <row r="327" spans="1:32" x14ac:dyDescent="0.25">
      <c r="A327" s="1">
        <v>327</v>
      </c>
      <c r="B327" s="1" t="s">
        <v>1134</v>
      </c>
      <c r="C327" s="2">
        <v>45915.77083333333</v>
      </c>
      <c r="D327" s="2">
        <v>45921.77083333333</v>
      </c>
      <c r="E327" s="1" t="s">
        <v>1135</v>
      </c>
      <c r="F327" s="1" t="s">
        <v>153</v>
      </c>
      <c r="G327" s="1" t="s">
        <v>114</v>
      </c>
      <c r="H327" s="1" t="s">
        <v>52</v>
      </c>
      <c r="I327" s="1" t="s">
        <v>118</v>
      </c>
      <c r="J327" s="1" t="s">
        <v>119</v>
      </c>
      <c r="K327" s="1" t="s">
        <v>93</v>
      </c>
      <c r="L327" s="1" t="s">
        <v>99</v>
      </c>
      <c r="M327" s="1" t="s">
        <v>1136</v>
      </c>
      <c r="N327" s="1" t="s">
        <v>42</v>
      </c>
      <c r="O327" s="1">
        <v>5</v>
      </c>
      <c r="P327" s="3">
        <v>3671.2</v>
      </c>
      <c r="Q327" s="4">
        <v>0.15</v>
      </c>
      <c r="R327" s="4">
        <v>0.15</v>
      </c>
      <c r="S327" s="3">
        <v>15602.6</v>
      </c>
      <c r="T327" s="3">
        <v>11908.52</v>
      </c>
      <c r="U327" s="3">
        <v>3694.08</v>
      </c>
      <c r="V327" s="1" t="s">
        <v>43</v>
      </c>
      <c r="W327" s="1" t="s">
        <v>44</v>
      </c>
      <c r="X327" s="3">
        <f>IF(OR(O327="",P327="",R327=""),"",O327*P327*(1-R327))</f>
        <v>15602.6</v>
      </c>
      <c r="Y327" s="3">
        <f>IF(OR(X327="",T327=""),"",X327-T327)</f>
        <v>3694.08</v>
      </c>
      <c r="Z327" s="4">
        <f>IFERROR(Y327/X327,"")</f>
        <v>0.2368</v>
      </c>
      <c r="AA327" s="1">
        <f>IF(OR(C327="",D327=""),"",D327-C327)</f>
        <v>6</v>
      </c>
      <c r="AB327" s="1">
        <f>IF(C327="","",MONTH(C327))</f>
        <v>9</v>
      </c>
      <c r="AC327" s="1">
        <f>IF(C327="","",YEAR(C327))</f>
        <v>2025</v>
      </c>
      <c r="AD327" s="1" t="s">
        <v>45</v>
      </c>
      <c r="AE327" s="1" t="s">
        <v>46</v>
      </c>
      <c r="AF327" s="1" t="s">
        <v>47</v>
      </c>
    </row>
    <row r="328" spans="1:32" x14ac:dyDescent="0.25">
      <c r="A328" s="1">
        <v>328</v>
      </c>
      <c r="B328" s="1" t="s">
        <v>1137</v>
      </c>
      <c r="C328" s="2">
        <v>45859.77083333333</v>
      </c>
      <c r="D328" s="2">
        <v>45859.77083333333</v>
      </c>
      <c r="E328" s="1" t="s">
        <v>1138</v>
      </c>
      <c r="F328" s="1" t="s">
        <v>153</v>
      </c>
      <c r="G328" s="1" t="s">
        <v>109</v>
      </c>
      <c r="H328" s="1" t="s">
        <v>52</v>
      </c>
      <c r="I328" s="1" t="s">
        <v>258</v>
      </c>
      <c r="J328" s="1" t="s">
        <v>259</v>
      </c>
      <c r="K328" s="1" t="s">
        <v>55</v>
      </c>
      <c r="L328" s="1" t="s">
        <v>74</v>
      </c>
      <c r="M328" s="1" t="s">
        <v>1139</v>
      </c>
      <c r="N328" s="1" t="s">
        <v>58</v>
      </c>
      <c r="O328" s="1">
        <v>5</v>
      </c>
      <c r="P328" s="3">
        <v>3187.05</v>
      </c>
      <c r="Q328" s="4">
        <v>0.05</v>
      </c>
      <c r="R328" s="4">
        <v>0.05</v>
      </c>
      <c r="S328" s="3">
        <v>15138.49</v>
      </c>
      <c r="T328" s="3">
        <v>11235.72</v>
      </c>
      <c r="U328" s="3">
        <v>3902.77</v>
      </c>
      <c r="V328" s="1" t="s">
        <v>43</v>
      </c>
      <c r="W328" s="1" t="s">
        <v>44</v>
      </c>
      <c r="X328" s="3">
        <f>IF(OR(O328="",P328="",R328=""),"",O328*P328*(1-R328))</f>
        <v>15138.49</v>
      </c>
      <c r="Y328" s="3">
        <f>IF(OR(X328="",T328=""),"",X328-T328)</f>
        <v>3902.77</v>
      </c>
      <c r="Z328" s="4">
        <f>IFERROR(Y328/X328,"")</f>
        <v>0.2578</v>
      </c>
      <c r="AA328" s="1">
        <f>IF(OR(C328="",D328=""),"",D328-C328)</f>
        <v>0</v>
      </c>
      <c r="AB328" s="1">
        <f>IF(C328="","",MONTH(C328))</f>
        <v>7</v>
      </c>
      <c r="AC328" s="1">
        <f>IF(C328="","",YEAR(C328))</f>
        <v>2025</v>
      </c>
      <c r="AD328" s="1" t="s">
        <v>45</v>
      </c>
      <c r="AE328" s="1" t="s">
        <v>46</v>
      </c>
      <c r="AF328" s="1" t="s">
        <v>47</v>
      </c>
    </row>
    <row r="329" spans="1:32" s="15" customFormat="1" x14ac:dyDescent="0.25">
      <c r="A329" s="16">
        <v>329</v>
      </c>
      <c r="B329" s="16" t="s">
        <v>1140</v>
      </c>
      <c r="C329" s="17">
        <v>45496.77083333333</v>
      </c>
      <c r="D329" s="17">
        <v>45499.77083333333</v>
      </c>
      <c r="E329" s="16" t="s">
        <v>1141</v>
      </c>
      <c r="F329" s="16" t="s">
        <v>61</v>
      </c>
      <c r="G329" s="16" t="s">
        <v>35</v>
      </c>
      <c r="H329" s="16" t="s">
        <v>80</v>
      </c>
      <c r="I329" s="16" t="s">
        <v>37</v>
      </c>
      <c r="J329" s="16" t="s">
        <v>129</v>
      </c>
      <c r="K329" s="16" t="s">
        <v>93</v>
      </c>
      <c r="L329" s="16" t="s">
        <v>94</v>
      </c>
      <c r="M329" s="16" t="s">
        <v>1142</v>
      </c>
      <c r="N329" s="16" t="s">
        <v>42</v>
      </c>
      <c r="O329" s="16">
        <v>3</v>
      </c>
      <c r="P329" s="18">
        <v>1834.55</v>
      </c>
      <c r="Q329" s="19">
        <v>0.2</v>
      </c>
      <c r="R329" s="19">
        <v>0.2</v>
      </c>
      <c r="S329" s="18">
        <v>4402.92</v>
      </c>
      <c r="T329" s="18">
        <v>2993.94</v>
      </c>
      <c r="U329" s="18">
        <v>1408.98</v>
      </c>
      <c r="V329" s="16" t="s">
        <v>131</v>
      </c>
      <c r="W329" s="16" t="s">
        <v>85</v>
      </c>
      <c r="X329" s="18">
        <f>IF(OR(O329="",P329="",R329=""),"",O329*P329*(1-R329))</f>
        <v>4402.92</v>
      </c>
      <c r="Y329" s="18">
        <f>IF(OR(X329="",T329=""),"",X329-T329)</f>
        <v>1408.98</v>
      </c>
      <c r="Z329" s="19">
        <f>IFERROR(Y329/X329,"")</f>
        <v>0.32</v>
      </c>
      <c r="AA329" s="16">
        <f>IF(OR(C329="",D329=""),"",D329-C329)</f>
        <v>3</v>
      </c>
      <c r="AB329" s="16">
        <f>IF(C329="","",MONTH(C329))</f>
        <v>7</v>
      </c>
      <c r="AC329" s="16">
        <f>IF(C329="","",YEAR(C329))</f>
        <v>2024</v>
      </c>
      <c r="AD329" s="16" t="s">
        <v>86</v>
      </c>
      <c r="AE329" s="16" t="s">
        <v>66</v>
      </c>
      <c r="AF329" s="16" t="s">
        <v>255</v>
      </c>
    </row>
    <row r="330" spans="1:32" x14ac:dyDescent="0.25">
      <c r="A330" s="1">
        <v>330</v>
      </c>
      <c r="B330" s="1" t="s">
        <v>1143</v>
      </c>
      <c r="C330" s="2">
        <v>45805.77083333333</v>
      </c>
      <c r="D330" s="2">
        <v>45811.77083333333</v>
      </c>
      <c r="E330" s="1" t="s">
        <v>1144</v>
      </c>
      <c r="F330" s="1" t="s">
        <v>186</v>
      </c>
      <c r="G330" s="1" t="s">
        <v>35</v>
      </c>
      <c r="H330" s="1" t="s">
        <v>80</v>
      </c>
      <c r="I330" s="1" t="s">
        <v>81</v>
      </c>
      <c r="J330" s="1" t="s">
        <v>82</v>
      </c>
      <c r="K330" s="1" t="s">
        <v>39</v>
      </c>
      <c r="L330" s="1" t="s">
        <v>145</v>
      </c>
      <c r="M330" s="1" t="s">
        <v>1145</v>
      </c>
      <c r="N330" s="1" t="s">
        <v>64</v>
      </c>
      <c r="O330" s="1">
        <v>6</v>
      </c>
      <c r="P330" s="3">
        <v>3100.68</v>
      </c>
      <c r="Q330" s="4">
        <v>0</v>
      </c>
      <c r="R330" s="4">
        <v>0</v>
      </c>
      <c r="S330" s="3">
        <v>18604.08</v>
      </c>
      <c r="T330" s="3">
        <v>15834.3</v>
      </c>
      <c r="U330" s="3">
        <v>2769.78</v>
      </c>
      <c r="V330" s="1" t="s">
        <v>43</v>
      </c>
      <c r="W330" s="1" t="s">
        <v>44</v>
      </c>
      <c r="X330" s="3">
        <f>IF(OR(O330="",P330="",R330=""),"",O330*P330*(1-R330))</f>
        <v>18604.08</v>
      </c>
      <c r="Y330" s="3">
        <f>IF(OR(X330="",T330=""),"",X330-T330)</f>
        <v>2769.78</v>
      </c>
      <c r="Z330" s="4">
        <f>IFERROR(Y330/X330,"")</f>
        <v>0.1489</v>
      </c>
      <c r="AA330" s="1">
        <f>IF(OR(C330="",D330=""),"",D330-C330)</f>
        <v>6</v>
      </c>
      <c r="AB330" s="1">
        <f>IF(C330="","",MONTH(C330))</f>
        <v>5</v>
      </c>
      <c r="AC330" s="1">
        <f>IF(C330="","",YEAR(C330))</f>
        <v>2025</v>
      </c>
      <c r="AD330" s="1" t="s">
        <v>45</v>
      </c>
      <c r="AE330" s="1" t="s">
        <v>46</v>
      </c>
      <c r="AF330" s="1" t="s">
        <v>47</v>
      </c>
    </row>
    <row r="331" spans="1:32" x14ac:dyDescent="0.25">
      <c r="A331" s="1">
        <v>331</v>
      </c>
      <c r="B331" s="1" t="s">
        <v>1146</v>
      </c>
      <c r="C331" s="2">
        <v>45788.77083333333</v>
      </c>
      <c r="D331" s="2">
        <v>45794.77083333333</v>
      </c>
      <c r="E331" s="1" t="s">
        <v>1147</v>
      </c>
      <c r="F331" s="1" t="s">
        <v>98</v>
      </c>
      <c r="G331" s="1" t="s">
        <v>51</v>
      </c>
      <c r="H331" s="1" t="s">
        <v>80</v>
      </c>
      <c r="I331" s="1" t="s">
        <v>81</v>
      </c>
      <c r="J331" s="1" t="s">
        <v>82</v>
      </c>
      <c r="K331" s="1" t="s">
        <v>39</v>
      </c>
      <c r="L331" s="1" t="s">
        <v>145</v>
      </c>
      <c r="M331" s="1" t="s">
        <v>1148</v>
      </c>
      <c r="N331" s="1" t="s">
        <v>76</v>
      </c>
      <c r="O331" s="1">
        <v>4</v>
      </c>
      <c r="P331" s="3">
        <v>4053.03</v>
      </c>
      <c r="Q331" s="4">
        <v>0.05</v>
      </c>
      <c r="R331" s="4">
        <v>0.05</v>
      </c>
      <c r="S331" s="3">
        <v>15401.51</v>
      </c>
      <c r="T331" s="3">
        <v>8650.42</v>
      </c>
      <c r="U331" s="3">
        <v>6751.09</v>
      </c>
      <c r="V331" s="1" t="s">
        <v>43</v>
      </c>
      <c r="W331" s="1" t="s">
        <v>44</v>
      </c>
      <c r="X331" s="3">
        <f>IF(OR(O331="",P331="",R331=""),"",O331*P331*(1-R331))</f>
        <v>15401.51</v>
      </c>
      <c r="Y331" s="3">
        <f>IF(OR(X331="",T331=""),"",X331-T331)</f>
        <v>6751.09</v>
      </c>
      <c r="Z331" s="4">
        <f>IFERROR(Y331/X331,"")</f>
        <v>0.4383</v>
      </c>
      <c r="AA331" s="1">
        <f>IF(OR(C331="",D331=""),"",D331-C331)</f>
        <v>6</v>
      </c>
      <c r="AB331" s="1">
        <f>IF(C331="","",MONTH(C331))</f>
        <v>5</v>
      </c>
      <c r="AC331" s="1">
        <f>IF(C331="","",YEAR(C331))</f>
        <v>2025</v>
      </c>
      <c r="AD331" s="1" t="s">
        <v>45</v>
      </c>
      <c r="AE331" s="1" t="s">
        <v>46</v>
      </c>
      <c r="AF331" s="1" t="s">
        <v>47</v>
      </c>
    </row>
    <row r="332" spans="1:32" s="15" customFormat="1" x14ac:dyDescent="0.25">
      <c r="A332" s="16">
        <v>332</v>
      </c>
      <c r="B332" s="16" t="s">
        <v>1149</v>
      </c>
      <c r="C332" s="17">
        <v>45427.77083333333</v>
      </c>
      <c r="D332" s="17">
        <v>45435.77083333333</v>
      </c>
      <c r="E332" s="16" t="s">
        <v>1150</v>
      </c>
      <c r="F332" s="16" t="s">
        <v>70</v>
      </c>
      <c r="G332" s="16" t="s">
        <v>114</v>
      </c>
      <c r="H332" s="16" t="s">
        <v>36</v>
      </c>
      <c r="I332" s="16" t="s">
        <v>143</v>
      </c>
      <c r="J332" s="16" t="s">
        <v>144</v>
      </c>
      <c r="K332" s="16" t="s">
        <v>93</v>
      </c>
      <c r="L332" s="16" t="s">
        <v>94</v>
      </c>
      <c r="M332" s="16" t="s">
        <v>1151</v>
      </c>
      <c r="N332" s="16" t="s">
        <v>58</v>
      </c>
      <c r="O332" s="16">
        <v>1</v>
      </c>
      <c r="P332" s="18">
        <v>783.09</v>
      </c>
      <c r="Q332" s="19">
        <v>0</v>
      </c>
      <c r="R332" s="19">
        <v>0</v>
      </c>
      <c r="S332" s="18">
        <v>783.09</v>
      </c>
      <c r="T332" s="18">
        <v>503.89</v>
      </c>
      <c r="U332" s="18">
        <v>279.2</v>
      </c>
      <c r="V332" s="16" t="s">
        <v>178</v>
      </c>
      <c r="W332" s="16" t="s">
        <v>85</v>
      </c>
      <c r="X332" s="18">
        <f>IF(OR(O332="",P332="",R332=""),"",O332*P332*(1-R332))</f>
        <v>783.09</v>
      </c>
      <c r="Y332" s="18">
        <f>IF(OR(X332="",T332=""),"",X332-T332)</f>
        <v>279.2</v>
      </c>
      <c r="Z332" s="19">
        <f>IFERROR(Y332/X332,"")</f>
        <v>0.3565</v>
      </c>
      <c r="AA332" s="16">
        <f>IF(OR(C332="",D332=""),"",D332-C332)</f>
        <v>8</v>
      </c>
      <c r="AB332" s="16">
        <f>IF(C332="","",MONTH(C332))</f>
        <v>5</v>
      </c>
      <c r="AC332" s="16">
        <f>IF(C332="","",YEAR(C332))</f>
        <v>2024</v>
      </c>
      <c r="AD332" s="16" t="s">
        <v>86</v>
      </c>
      <c r="AE332" s="16" t="s">
        <v>66</v>
      </c>
      <c r="AF332" s="16" t="s">
        <v>296</v>
      </c>
    </row>
    <row r="333" spans="1:32" s="10" customFormat="1" x14ac:dyDescent="0.25">
      <c r="A333" s="11">
        <v>333</v>
      </c>
      <c r="B333" s="11" t="s">
        <v>1152</v>
      </c>
      <c r="C333" s="12">
        <v>45629.77083333333</v>
      </c>
      <c r="D333" s="12">
        <v>45631.77083333333</v>
      </c>
      <c r="E333" s="11" t="s">
        <v>1153</v>
      </c>
      <c r="F333" s="11" t="s">
        <v>153</v>
      </c>
      <c r="G333" s="11" t="s">
        <v>114</v>
      </c>
      <c r="H333" s="11" t="s">
        <v>52</v>
      </c>
      <c r="I333" s="11" t="s">
        <v>53</v>
      </c>
      <c r="J333" s="11" t="s">
        <v>54</v>
      </c>
      <c r="K333" s="11" t="s">
        <v>39</v>
      </c>
      <c r="L333" s="11" t="s">
        <v>176</v>
      </c>
      <c r="M333" s="11" t="s">
        <v>1154</v>
      </c>
      <c r="N333" s="11" t="s">
        <v>42</v>
      </c>
      <c r="O333" s="11">
        <v>4</v>
      </c>
      <c r="P333" s="13">
        <v>2685.66</v>
      </c>
      <c r="Q333" s="14">
        <v>0</v>
      </c>
      <c r="R333" s="14">
        <v>0</v>
      </c>
      <c r="S333" s="13">
        <v>10742.64</v>
      </c>
      <c r="T333" s="13">
        <v>6477.37</v>
      </c>
      <c r="U333" s="13">
        <v>4265.27</v>
      </c>
      <c r="V333" s="11" t="s">
        <v>43</v>
      </c>
      <c r="W333" s="11" t="s">
        <v>122</v>
      </c>
      <c r="X333" s="13">
        <f>IF(OR(O333="",P333="",R333=""),"",O333*P333*(1-R333))</f>
        <v>10742.64</v>
      </c>
      <c r="Y333" s="13">
        <f>IF(OR(X333="",T333=""),"",X333-T333)</f>
        <v>4265.27</v>
      </c>
      <c r="Z333" s="14">
        <f>IFERROR(Y333/X333,"")</f>
        <v>0.397</v>
      </c>
      <c r="AA333" s="11">
        <f>IF(OR(C333="",D333=""),"",D333-C333)</f>
        <v>2</v>
      </c>
      <c r="AB333" s="11">
        <f>IF(C333="","",MONTH(C333))</f>
        <v>12</v>
      </c>
      <c r="AC333" s="11">
        <f>IF(C333="","",YEAR(C333))</f>
        <v>2024</v>
      </c>
      <c r="AD333" s="11" t="s">
        <v>65</v>
      </c>
      <c r="AE333" s="11" t="s">
        <v>66</v>
      </c>
      <c r="AF333" s="11" t="s">
        <v>1155</v>
      </c>
    </row>
    <row r="334" spans="1:32" x14ac:dyDescent="0.25">
      <c r="A334" s="1">
        <v>334</v>
      </c>
      <c r="B334" s="1" t="s">
        <v>1156</v>
      </c>
      <c r="C334" s="2">
        <v>45803.77083333333</v>
      </c>
      <c r="D334" s="2">
        <v>45804.77083333333</v>
      </c>
      <c r="E334" s="1" t="s">
        <v>1157</v>
      </c>
      <c r="F334" s="1" t="s">
        <v>149</v>
      </c>
      <c r="G334" s="1" t="s">
        <v>35</v>
      </c>
      <c r="H334" s="1" t="s">
        <v>71</v>
      </c>
      <c r="I334" s="1" t="s">
        <v>103</v>
      </c>
      <c r="J334" s="1" t="s">
        <v>104</v>
      </c>
      <c r="K334" s="1" t="s">
        <v>93</v>
      </c>
      <c r="L334" s="1" t="s">
        <v>305</v>
      </c>
      <c r="M334" s="1" t="s">
        <v>1158</v>
      </c>
      <c r="N334" s="1" t="s">
        <v>42</v>
      </c>
      <c r="O334" s="1">
        <v>2</v>
      </c>
      <c r="P334" s="3">
        <v>3911.96</v>
      </c>
      <c r="Q334" s="4">
        <v>0</v>
      </c>
      <c r="R334" s="4">
        <v>0</v>
      </c>
      <c r="S334" s="3">
        <v>7823.92</v>
      </c>
      <c r="T334" s="3">
        <v>6034.63</v>
      </c>
      <c r="U334" s="3">
        <v>1789.29</v>
      </c>
      <c r="V334" s="1" t="s">
        <v>43</v>
      </c>
      <c r="W334" s="1" t="s">
        <v>44</v>
      </c>
      <c r="X334" s="3">
        <f>IF(OR(O334="",P334="",R334=""),"",O334*P334*(1-R334))</f>
        <v>7823.92</v>
      </c>
      <c r="Y334" s="3">
        <f>IF(OR(X334="",T334=""),"",X334-T334)</f>
        <v>1789.29</v>
      </c>
      <c r="Z334" s="4">
        <f>IFERROR(Y334/X334,"")</f>
        <v>0.2287</v>
      </c>
      <c r="AA334" s="1">
        <f>IF(OR(C334="",D334=""),"",D334-C334)</f>
        <v>1</v>
      </c>
      <c r="AB334" s="1">
        <f>IF(C334="","",MONTH(C334))</f>
        <v>5</v>
      </c>
      <c r="AC334" s="1">
        <f>IF(C334="","",YEAR(C334))</f>
        <v>2025</v>
      </c>
      <c r="AD334" s="1" t="s">
        <v>45</v>
      </c>
      <c r="AE334" s="1" t="s">
        <v>46</v>
      </c>
      <c r="AF334" s="1" t="s">
        <v>47</v>
      </c>
    </row>
    <row r="335" spans="1:32" s="15" customFormat="1" x14ac:dyDescent="0.25">
      <c r="A335" s="16">
        <v>335</v>
      </c>
      <c r="B335" s="16" t="s">
        <v>1159</v>
      </c>
      <c r="C335" s="17">
        <v>45829.77083333333</v>
      </c>
      <c r="D335" s="17">
        <v>45834.77083333333</v>
      </c>
      <c r="E335" s="16" t="s">
        <v>1160</v>
      </c>
      <c r="F335" s="16" t="s">
        <v>163</v>
      </c>
      <c r="G335" s="16" t="s">
        <v>114</v>
      </c>
      <c r="H335" s="16" t="s">
        <v>232</v>
      </c>
      <c r="I335" s="16" t="s">
        <v>384</v>
      </c>
      <c r="J335" s="16" t="s">
        <v>385</v>
      </c>
      <c r="K335" s="16" t="s">
        <v>93</v>
      </c>
      <c r="L335" s="16" t="s">
        <v>196</v>
      </c>
      <c r="M335" s="16" t="s">
        <v>1161</v>
      </c>
      <c r="N335" s="16" t="s">
        <v>64</v>
      </c>
      <c r="O335" s="16">
        <v>2</v>
      </c>
      <c r="P335" s="18">
        <v>1468.05</v>
      </c>
      <c r="Q335" s="19">
        <v>0</v>
      </c>
      <c r="R335" s="19">
        <v>0</v>
      </c>
      <c r="S335" s="18">
        <v>2936.1</v>
      </c>
      <c r="T335" s="18">
        <v>1923.1</v>
      </c>
      <c r="U335" s="18">
        <v>1013</v>
      </c>
      <c r="V335" s="16" t="s">
        <v>43</v>
      </c>
      <c r="W335" s="16" t="s">
        <v>44</v>
      </c>
      <c r="X335" s="18">
        <f>IF(OR(O335="",P335="",R335=""),"",O335*P335*(1-R335))</f>
        <v>2936.1</v>
      </c>
      <c r="Y335" s="18">
        <f>IF(OR(X335="",T335=""),"",X335-T335)</f>
        <v>1013</v>
      </c>
      <c r="Z335" s="19">
        <f>IFERROR(Y335/X335,"")</f>
        <v>0.345</v>
      </c>
      <c r="AA335" s="16">
        <f>IF(OR(C335="",D335=""),"",D335-C335)</f>
        <v>5</v>
      </c>
      <c r="AB335" s="16">
        <f>IF(C335="","",MONTH(C335))</f>
        <v>6</v>
      </c>
      <c r="AC335" s="16">
        <f>IF(C335="","",YEAR(C335))</f>
        <v>2025</v>
      </c>
      <c r="AD335" s="16" t="s">
        <v>86</v>
      </c>
      <c r="AE335" s="16" t="s">
        <v>46</v>
      </c>
      <c r="AF335" s="16" t="s">
        <v>487</v>
      </c>
    </row>
    <row r="336" spans="1:32" x14ac:dyDescent="0.25">
      <c r="A336" s="1">
        <v>336</v>
      </c>
      <c r="B336" s="1" t="s">
        <v>1162</v>
      </c>
      <c r="C336" s="2">
        <v>45546.77083333333</v>
      </c>
      <c r="D336" s="2">
        <v>45551.77083333333</v>
      </c>
      <c r="E336" s="1" t="s">
        <v>1163</v>
      </c>
      <c r="F336" s="1" t="s">
        <v>79</v>
      </c>
      <c r="G336" s="1" t="s">
        <v>35</v>
      </c>
      <c r="H336" s="1" t="s">
        <v>52</v>
      </c>
      <c r="I336" s="1" t="s">
        <v>258</v>
      </c>
      <c r="J336" s="1" t="s">
        <v>259</v>
      </c>
      <c r="K336" s="1" t="s">
        <v>39</v>
      </c>
      <c r="L336" s="1" t="s">
        <v>145</v>
      </c>
      <c r="M336" s="1" t="s">
        <v>1164</v>
      </c>
      <c r="N336" s="1" t="s">
        <v>64</v>
      </c>
      <c r="O336" s="1">
        <v>9</v>
      </c>
      <c r="P336" s="3">
        <v>1921.47</v>
      </c>
      <c r="Q336" s="4">
        <v>0.25</v>
      </c>
      <c r="R336" s="4">
        <v>0.25</v>
      </c>
      <c r="S336" s="3">
        <v>12969.92</v>
      </c>
      <c r="T336" s="3">
        <v>9398.46</v>
      </c>
      <c r="U336" s="3">
        <v>3571.46</v>
      </c>
      <c r="V336" s="1" t="s">
        <v>43</v>
      </c>
      <c r="W336" s="1" t="s">
        <v>44</v>
      </c>
      <c r="X336" s="3">
        <f>IF(OR(O336="",P336="",R336=""),"",O336*P336*(1-R336))</f>
        <v>12969.92</v>
      </c>
      <c r="Y336" s="3">
        <f>IF(OR(X336="",T336=""),"",X336-T336)</f>
        <v>3571.46</v>
      </c>
      <c r="Z336" s="4">
        <f>IFERROR(Y336/X336,"")</f>
        <v>0.2754</v>
      </c>
      <c r="AA336" s="1">
        <f>IF(OR(C336="",D336=""),"",D336-C336)</f>
        <v>5</v>
      </c>
      <c r="AB336" s="1">
        <f>IF(C336="","",MONTH(C336))</f>
        <v>9</v>
      </c>
      <c r="AC336" s="1">
        <f>IF(C336="","",YEAR(C336))</f>
        <v>2024</v>
      </c>
      <c r="AD336" s="1" t="s">
        <v>45</v>
      </c>
      <c r="AE336" s="1" t="s">
        <v>46</v>
      </c>
      <c r="AF336" s="1" t="s">
        <v>47</v>
      </c>
    </row>
    <row r="337" spans="1:32" s="10" customFormat="1" x14ac:dyDescent="0.25">
      <c r="A337" s="11">
        <v>337</v>
      </c>
      <c r="B337" s="11" t="s">
        <v>1165</v>
      </c>
      <c r="C337" s="12">
        <v>45823.77083333333</v>
      </c>
      <c r="D337" s="12">
        <v>45825.77083333333</v>
      </c>
      <c r="E337" s="11" t="s">
        <v>1166</v>
      </c>
      <c r="F337" s="11" t="s">
        <v>139</v>
      </c>
      <c r="G337" s="11" t="s">
        <v>114</v>
      </c>
      <c r="H337" s="11" t="s">
        <v>80</v>
      </c>
      <c r="I337" s="11" t="s">
        <v>91</v>
      </c>
      <c r="J337" s="11" t="s">
        <v>92</v>
      </c>
      <c r="K337" s="11" t="s">
        <v>39</v>
      </c>
      <c r="L337" s="11" t="s">
        <v>40</v>
      </c>
      <c r="M337" s="11" t="s">
        <v>1167</v>
      </c>
      <c r="N337" s="11" t="s">
        <v>64</v>
      </c>
      <c r="O337" s="11">
        <v>3</v>
      </c>
      <c r="P337" s="13">
        <v>4289.37</v>
      </c>
      <c r="Q337" s="14">
        <v>0.1</v>
      </c>
      <c r="R337" s="14">
        <v>0.1</v>
      </c>
      <c r="S337" s="13">
        <v>11581.3</v>
      </c>
      <c r="T337" s="13">
        <v>6829.43</v>
      </c>
      <c r="U337" s="13">
        <v>4751.87</v>
      </c>
      <c r="V337" s="11" t="s">
        <v>43</v>
      </c>
      <c r="W337" s="11" t="s">
        <v>44</v>
      </c>
      <c r="X337" s="13">
        <f>IF(OR(O337="",P337="",R337=""),"",O337*P337*(1-R337))</f>
        <v>11581.3</v>
      </c>
      <c r="Y337" s="13">
        <f>IF(OR(X337="",T337=""),"",X337-T337)</f>
        <v>4751.87</v>
      </c>
      <c r="Z337" s="14">
        <f>IFERROR(Y337/X337,"")</f>
        <v>0.4103</v>
      </c>
      <c r="AA337" s="11">
        <f>IF(OR(C337="",D337=""),"",D337-C337)</f>
        <v>2</v>
      </c>
      <c r="AB337" s="11">
        <f>IF(C337="","",MONTH(C337))</f>
        <v>6</v>
      </c>
      <c r="AC337" s="11">
        <f>IF(C337="","",YEAR(C337))</f>
        <v>2025</v>
      </c>
      <c r="AD337" s="11" t="s">
        <v>65</v>
      </c>
      <c r="AE337" s="11" t="s">
        <v>66</v>
      </c>
      <c r="AF337" s="11" t="s">
        <v>417</v>
      </c>
    </row>
    <row r="338" spans="1:32" x14ac:dyDescent="0.25">
      <c r="A338" s="1">
        <v>338</v>
      </c>
      <c r="B338" s="1" t="s">
        <v>1168</v>
      </c>
      <c r="C338" s="2">
        <v>45367.77083333333</v>
      </c>
      <c r="D338" s="2">
        <v>45371.77083333333</v>
      </c>
      <c r="E338" s="1" t="s">
        <v>912</v>
      </c>
      <c r="F338" s="1" t="s">
        <v>149</v>
      </c>
      <c r="G338" s="1" t="s">
        <v>35</v>
      </c>
      <c r="H338" s="1" t="s">
        <v>36</v>
      </c>
      <c r="I338" s="1" t="s">
        <v>37</v>
      </c>
      <c r="J338" s="1" t="s">
        <v>38</v>
      </c>
      <c r="K338" s="1" t="s">
        <v>93</v>
      </c>
      <c r="L338" s="1" t="s">
        <v>99</v>
      </c>
      <c r="M338" s="1" t="s">
        <v>1169</v>
      </c>
      <c r="N338" s="1" t="s">
        <v>64</v>
      </c>
      <c r="O338" s="1">
        <v>8</v>
      </c>
      <c r="P338" s="3">
        <v>1992.57</v>
      </c>
      <c r="Q338" s="4">
        <v>0</v>
      </c>
      <c r="R338" s="4">
        <v>0</v>
      </c>
      <c r="S338" s="3">
        <v>15940.56</v>
      </c>
      <c r="T338" s="3">
        <v>12347.15</v>
      </c>
      <c r="U338" s="3">
        <v>3593.41</v>
      </c>
      <c r="V338" s="1" t="s">
        <v>43</v>
      </c>
      <c r="W338" s="1" t="s">
        <v>44</v>
      </c>
      <c r="X338" s="3">
        <f>IF(OR(O338="",P338="",R338=""),"",O338*P338*(1-R338))</f>
        <v>15940.56</v>
      </c>
      <c r="Y338" s="3">
        <f>IF(OR(X338="",T338=""),"",X338-T338)</f>
        <v>3593.41</v>
      </c>
      <c r="Z338" s="4">
        <f>IFERROR(Y338/X338,"")</f>
        <v>0.2254</v>
      </c>
      <c r="AA338" s="1">
        <f>IF(OR(C338="",D338=""),"",D338-C338)</f>
        <v>4</v>
      </c>
      <c r="AB338" s="1">
        <f>IF(C338="","",MONTH(C338))</f>
        <v>3</v>
      </c>
      <c r="AC338" s="1">
        <f>IF(C338="","",YEAR(C338))</f>
        <v>2024</v>
      </c>
      <c r="AD338" s="1" t="s">
        <v>45</v>
      </c>
      <c r="AE338" s="1" t="s">
        <v>46</v>
      </c>
      <c r="AF338" s="1" t="s">
        <v>47</v>
      </c>
    </row>
    <row r="339" spans="1:32" s="10" customFormat="1" x14ac:dyDescent="0.25">
      <c r="A339" s="11">
        <v>339</v>
      </c>
      <c r="B339" s="11" t="s">
        <v>1170</v>
      </c>
      <c r="C339" s="12">
        <v>45515.77083333333</v>
      </c>
      <c r="D339" s="12">
        <v>45521.77083333333</v>
      </c>
      <c r="E339" s="11" t="s">
        <v>1171</v>
      </c>
      <c r="F339" s="11" t="s">
        <v>79</v>
      </c>
      <c r="G339" s="11" t="s">
        <v>35</v>
      </c>
      <c r="H339" s="11" t="s">
        <v>52</v>
      </c>
      <c r="I339" s="11" t="s">
        <v>191</v>
      </c>
      <c r="J339" s="11" t="s">
        <v>192</v>
      </c>
      <c r="K339" s="11" t="s">
        <v>39</v>
      </c>
      <c r="L339" s="11" t="s">
        <v>110</v>
      </c>
      <c r="M339" s="11" t="s">
        <v>1172</v>
      </c>
      <c r="N339" s="11" t="s">
        <v>58</v>
      </c>
      <c r="O339" s="11">
        <v>6</v>
      </c>
      <c r="P339" s="13">
        <v>1181.74</v>
      </c>
      <c r="Q339" s="14">
        <v>0</v>
      </c>
      <c r="R339" s="14">
        <v>0</v>
      </c>
      <c r="S339" s="13">
        <v>7090.44</v>
      </c>
      <c r="T339" s="13">
        <v>5672.27</v>
      </c>
      <c r="U339" s="13">
        <v>1262.87</v>
      </c>
      <c r="V339" s="11" t="s">
        <v>43</v>
      </c>
      <c r="W339" s="11" t="s">
        <v>44</v>
      </c>
      <c r="X339" s="13">
        <f>IF(OR(O339="",P339="",R339=""),"",O339*P339*(1-R339))</f>
        <v>7090.44</v>
      </c>
      <c r="Y339" s="13">
        <f>IF(OR(X339="",T339=""),"",X339-T339)</f>
        <v>1418.17</v>
      </c>
      <c r="Z339" s="14">
        <f>IFERROR(Y339/X339,"")</f>
        <v>0.2</v>
      </c>
      <c r="AA339" s="11">
        <f>IF(OR(C339="",D339=""),"",D339-C339)</f>
        <v>6</v>
      </c>
      <c r="AB339" s="11">
        <f>IF(C339="","",MONTH(C339))</f>
        <v>8</v>
      </c>
      <c r="AC339" s="11">
        <f>IF(C339="","",YEAR(C339))</f>
        <v>2024</v>
      </c>
      <c r="AD339" s="11" t="s">
        <v>65</v>
      </c>
      <c r="AE339" s="11" t="s">
        <v>66</v>
      </c>
      <c r="AF339" s="11" t="s">
        <v>332</v>
      </c>
    </row>
    <row r="340" spans="1:32" x14ac:dyDescent="0.25">
      <c r="A340" s="1">
        <v>340</v>
      </c>
      <c r="B340" s="1" t="s">
        <v>1173</v>
      </c>
      <c r="C340" s="2">
        <v>45633.77083333333</v>
      </c>
      <c r="D340" s="2">
        <v>45633.77083333333</v>
      </c>
      <c r="E340" s="1" t="s">
        <v>1174</v>
      </c>
      <c r="F340" s="1" t="s">
        <v>70</v>
      </c>
      <c r="G340" s="1" t="s">
        <v>51</v>
      </c>
      <c r="H340" s="1" t="s">
        <v>71</v>
      </c>
      <c r="I340" s="1" t="s">
        <v>103</v>
      </c>
      <c r="J340" s="1" t="s">
        <v>104</v>
      </c>
      <c r="K340" s="1" t="s">
        <v>93</v>
      </c>
      <c r="L340" s="1" t="s">
        <v>94</v>
      </c>
      <c r="M340" s="1" t="s">
        <v>1175</v>
      </c>
      <c r="N340" s="1" t="s">
        <v>64</v>
      </c>
      <c r="O340" s="1">
        <v>8</v>
      </c>
      <c r="P340" s="3">
        <v>4402.36</v>
      </c>
      <c r="Q340" s="4">
        <v>0.25</v>
      </c>
      <c r="R340" s="4">
        <v>0.25</v>
      </c>
      <c r="S340" s="3">
        <v>26414.16</v>
      </c>
      <c r="T340" s="3">
        <v>21822.53</v>
      </c>
      <c r="U340" s="3">
        <v>4591.63</v>
      </c>
      <c r="V340" s="1" t="s">
        <v>43</v>
      </c>
      <c r="W340" s="1" t="s">
        <v>44</v>
      </c>
      <c r="X340" s="3">
        <f>IF(OR(O340="",P340="",R340=""),"",O340*P340*(1-R340))</f>
        <v>26414.16</v>
      </c>
      <c r="Y340" s="3">
        <f>IF(OR(X340="",T340=""),"",X340-T340)</f>
        <v>4591.63</v>
      </c>
      <c r="Z340" s="4">
        <f>IFERROR(Y340/X340,"")</f>
        <v>0.1738</v>
      </c>
      <c r="AA340" s="1">
        <f>IF(OR(C340="",D340=""),"",D340-C340)</f>
        <v>0</v>
      </c>
      <c r="AB340" s="1">
        <f>IF(C340="","",MONTH(C340))</f>
        <v>12</v>
      </c>
      <c r="AC340" s="1">
        <f>IF(C340="","",YEAR(C340))</f>
        <v>2024</v>
      </c>
      <c r="AD340" s="1" t="s">
        <v>45</v>
      </c>
      <c r="AE340" s="1" t="s">
        <v>46</v>
      </c>
      <c r="AF340" s="1" t="s">
        <v>47</v>
      </c>
    </row>
    <row r="341" spans="1:32" x14ac:dyDescent="0.25">
      <c r="A341" s="1">
        <v>341</v>
      </c>
      <c r="B341" s="1" t="s">
        <v>1176</v>
      </c>
      <c r="C341" s="2">
        <v>45707.77083333333</v>
      </c>
      <c r="D341" s="2">
        <v>45709.77083333333</v>
      </c>
      <c r="E341" s="1" t="s">
        <v>1177</v>
      </c>
      <c r="F341" s="1" t="s">
        <v>98</v>
      </c>
      <c r="G341" s="1" t="s">
        <v>109</v>
      </c>
      <c r="H341" s="1" t="s">
        <v>52</v>
      </c>
      <c r="I341" s="1" t="s">
        <v>258</v>
      </c>
      <c r="J341" s="1" t="s">
        <v>259</v>
      </c>
      <c r="K341" s="1" t="s">
        <v>55</v>
      </c>
      <c r="L341" s="1" t="s">
        <v>182</v>
      </c>
      <c r="M341" s="1" t="s">
        <v>1178</v>
      </c>
      <c r="N341" s="1" t="s">
        <v>76</v>
      </c>
      <c r="O341" s="1">
        <v>8</v>
      </c>
      <c r="P341" s="3">
        <v>3265.76</v>
      </c>
      <c r="Q341" s="4">
        <v>0.2</v>
      </c>
      <c r="R341" s="4">
        <v>0.2</v>
      </c>
      <c r="S341" s="3">
        <v>20900.86</v>
      </c>
      <c r="T341" s="3">
        <v>12513.14</v>
      </c>
      <c r="U341" s="3">
        <v>8387.72</v>
      </c>
      <c r="V341" s="1" t="s">
        <v>43</v>
      </c>
      <c r="W341" s="1" t="s">
        <v>44</v>
      </c>
      <c r="X341" s="3">
        <f>IF(OR(O341="",P341="",R341=""),"",O341*P341*(1-R341))</f>
        <v>20900.86</v>
      </c>
      <c r="Y341" s="3">
        <f>IF(OR(X341="",T341=""),"",X341-T341)</f>
        <v>8387.72</v>
      </c>
      <c r="Z341" s="4">
        <f>IFERROR(Y341/X341,"")</f>
        <v>0.4013</v>
      </c>
      <c r="AA341" s="1">
        <f>IF(OR(C341="",D341=""),"",D341-C341)</f>
        <v>2</v>
      </c>
      <c r="AB341" s="1">
        <f>IF(C341="","",MONTH(C341))</f>
        <v>2</v>
      </c>
      <c r="AC341" s="1">
        <f>IF(C341="","",YEAR(C341))</f>
        <v>2025</v>
      </c>
      <c r="AD341" s="1" t="s">
        <v>45</v>
      </c>
      <c r="AE341" s="1" t="s">
        <v>46</v>
      </c>
      <c r="AF341" s="1" t="s">
        <v>47</v>
      </c>
    </row>
    <row r="342" spans="1:32" x14ac:dyDescent="0.25">
      <c r="A342" s="1">
        <v>342</v>
      </c>
      <c r="B342" s="1" t="s">
        <v>1179</v>
      </c>
      <c r="C342" s="2">
        <v>45311.77083333333</v>
      </c>
      <c r="D342" s="2">
        <v>45319.77083333333</v>
      </c>
      <c r="E342" s="1" t="s">
        <v>1180</v>
      </c>
      <c r="F342" s="1" t="s">
        <v>98</v>
      </c>
      <c r="G342" s="1" t="s">
        <v>35</v>
      </c>
      <c r="H342" s="1" t="s">
        <v>71</v>
      </c>
      <c r="I342" s="1" t="s">
        <v>201</v>
      </c>
      <c r="J342" s="1" t="s">
        <v>202</v>
      </c>
      <c r="K342" s="1" t="s">
        <v>39</v>
      </c>
      <c r="L342" s="1" t="s">
        <v>176</v>
      </c>
      <c r="M342" s="1" t="s">
        <v>1181</v>
      </c>
      <c r="N342" s="1" t="s">
        <v>76</v>
      </c>
      <c r="O342" s="1">
        <v>5</v>
      </c>
      <c r="P342" s="3">
        <v>4058.08</v>
      </c>
      <c r="Q342" s="4">
        <v>0.1</v>
      </c>
      <c r="R342" s="4">
        <v>0.1</v>
      </c>
      <c r="S342" s="3">
        <v>18261.36</v>
      </c>
      <c r="T342" s="3">
        <v>11399.94</v>
      </c>
      <c r="U342" s="3">
        <v>6861.42</v>
      </c>
      <c r="V342" s="1" t="s">
        <v>43</v>
      </c>
      <c r="W342" s="1" t="s">
        <v>44</v>
      </c>
      <c r="X342" s="3">
        <f>IF(OR(O342="",P342="",R342=""),"",O342*P342*(1-R342))</f>
        <v>18261.36</v>
      </c>
      <c r="Y342" s="3">
        <f>IF(OR(X342="",T342=""),"",X342-T342)</f>
        <v>6861.42</v>
      </c>
      <c r="Z342" s="4">
        <f>IFERROR(Y342/X342,"")</f>
        <v>0.3757</v>
      </c>
      <c r="AA342" s="1">
        <f>IF(OR(C342="",D342=""),"",D342-C342)</f>
        <v>8</v>
      </c>
      <c r="AB342" s="1">
        <f>IF(C342="","",MONTH(C342))</f>
        <v>1</v>
      </c>
      <c r="AC342" s="1">
        <f>IF(C342="","",YEAR(C342))</f>
        <v>2024</v>
      </c>
      <c r="AD342" s="1" t="s">
        <v>45</v>
      </c>
      <c r="AE342" s="1" t="s">
        <v>46</v>
      </c>
      <c r="AF342" s="1" t="s">
        <v>47</v>
      </c>
    </row>
    <row r="343" spans="1:32" x14ac:dyDescent="0.25">
      <c r="A343" s="1">
        <v>343</v>
      </c>
      <c r="B343" s="1" t="s">
        <v>1182</v>
      </c>
      <c r="C343" s="2">
        <v>45907.77083333333</v>
      </c>
      <c r="D343" s="2">
        <v>45908.77083333333</v>
      </c>
      <c r="E343" s="1" t="s">
        <v>1183</v>
      </c>
      <c r="F343" s="1" t="s">
        <v>163</v>
      </c>
      <c r="G343" s="1" t="s">
        <v>114</v>
      </c>
      <c r="H343" s="1" t="s">
        <v>80</v>
      </c>
      <c r="I343" s="1" t="s">
        <v>206</v>
      </c>
      <c r="J343" s="1" t="s">
        <v>207</v>
      </c>
      <c r="K343" s="1" t="s">
        <v>55</v>
      </c>
      <c r="L343" s="1" t="s">
        <v>83</v>
      </c>
      <c r="M343" s="1" t="s">
        <v>1184</v>
      </c>
      <c r="N343" s="1" t="s">
        <v>42</v>
      </c>
      <c r="O343" s="1">
        <v>2</v>
      </c>
      <c r="P343" s="3">
        <v>3960.33</v>
      </c>
      <c r="Q343" s="4">
        <v>0.05</v>
      </c>
      <c r="R343" s="4">
        <v>0.05</v>
      </c>
      <c r="S343" s="3">
        <v>7524.63</v>
      </c>
      <c r="T343" s="3">
        <v>6229.6</v>
      </c>
      <c r="U343" s="3">
        <v>1295.03</v>
      </c>
      <c r="V343" s="1" t="s">
        <v>43</v>
      </c>
      <c r="W343" s="1" t="s">
        <v>44</v>
      </c>
      <c r="X343" s="3">
        <f>IF(OR(O343="",P343="",R343=""),"",O343*P343*(1-R343))</f>
        <v>7524.63</v>
      </c>
      <c r="Y343" s="3">
        <f>IF(OR(X343="",T343=""),"",X343-T343)</f>
        <v>1295.03</v>
      </c>
      <c r="Z343" s="4">
        <f>IFERROR(Y343/X343,"")</f>
        <v>0.1721</v>
      </c>
      <c r="AA343" s="1">
        <f>IF(OR(C343="",D343=""),"",D343-C343)</f>
        <v>1</v>
      </c>
      <c r="AB343" s="1">
        <f>IF(C343="","",MONTH(C343))</f>
        <v>9</v>
      </c>
      <c r="AC343" s="1">
        <f>IF(C343="","",YEAR(C343))</f>
        <v>2025</v>
      </c>
      <c r="AD343" s="1" t="s">
        <v>45</v>
      </c>
      <c r="AE343" s="1" t="s">
        <v>46</v>
      </c>
      <c r="AF343" s="1" t="s">
        <v>47</v>
      </c>
    </row>
    <row r="344" spans="1:32" x14ac:dyDescent="0.25">
      <c r="A344" s="1">
        <v>344</v>
      </c>
      <c r="B344" s="1" t="s">
        <v>1185</v>
      </c>
      <c r="C344" s="2">
        <v>45861.77083333333</v>
      </c>
      <c r="D344" s="2">
        <v>45869.77083333333</v>
      </c>
      <c r="E344" s="1" t="s">
        <v>1186</v>
      </c>
      <c r="F344" s="1" t="s">
        <v>294</v>
      </c>
      <c r="G344" s="1" t="s">
        <v>51</v>
      </c>
      <c r="H344" s="1" t="s">
        <v>52</v>
      </c>
      <c r="I344" s="1" t="s">
        <v>258</v>
      </c>
      <c r="J344" s="1" t="s">
        <v>259</v>
      </c>
      <c r="K344" s="1" t="s">
        <v>39</v>
      </c>
      <c r="L344" s="1" t="s">
        <v>176</v>
      </c>
      <c r="M344" s="1" t="s">
        <v>1187</v>
      </c>
      <c r="N344" s="1" t="s">
        <v>64</v>
      </c>
      <c r="O344" s="1">
        <v>8</v>
      </c>
      <c r="P344" s="3">
        <v>1528.92</v>
      </c>
      <c r="Q344" s="4">
        <v>0</v>
      </c>
      <c r="R344" s="4">
        <v>0</v>
      </c>
      <c r="S344" s="3">
        <v>12231.36</v>
      </c>
      <c r="T344" s="3">
        <v>8766.9</v>
      </c>
      <c r="U344" s="3">
        <v>3464.46</v>
      </c>
      <c r="V344" s="1" t="s">
        <v>43</v>
      </c>
      <c r="W344" s="1" t="s">
        <v>44</v>
      </c>
      <c r="X344" s="3">
        <f>IF(OR(O344="",P344="",R344=""),"",O344*P344*(1-R344))</f>
        <v>12231.36</v>
      </c>
      <c r="Y344" s="3">
        <f>IF(OR(X344="",T344=""),"",X344-T344)</f>
        <v>3464.46</v>
      </c>
      <c r="Z344" s="4">
        <f>IFERROR(Y344/X344,"")</f>
        <v>0.2832</v>
      </c>
      <c r="AA344" s="1">
        <f>IF(OR(C344="",D344=""),"",D344-C344)</f>
        <v>8</v>
      </c>
      <c r="AB344" s="1">
        <f>IF(C344="","",MONTH(C344))</f>
        <v>7</v>
      </c>
      <c r="AC344" s="1">
        <f>IF(C344="","",YEAR(C344))</f>
        <v>2025</v>
      </c>
      <c r="AD344" s="1" t="s">
        <v>45</v>
      </c>
      <c r="AE344" s="1" t="s">
        <v>46</v>
      </c>
      <c r="AF344" s="1" t="s">
        <v>47</v>
      </c>
    </row>
    <row r="345" spans="1:32" x14ac:dyDescent="0.25">
      <c r="A345" s="1">
        <v>345</v>
      </c>
      <c r="B345" s="1" t="s">
        <v>1188</v>
      </c>
      <c r="C345" s="2">
        <v>45932.77083333333</v>
      </c>
      <c r="D345" s="2">
        <v>45937.77083333333</v>
      </c>
      <c r="E345" s="1" t="s">
        <v>1189</v>
      </c>
      <c r="F345" s="1" t="s">
        <v>149</v>
      </c>
      <c r="G345" s="1" t="s">
        <v>109</v>
      </c>
      <c r="H345" s="1" t="s">
        <v>80</v>
      </c>
      <c r="I345" s="1" t="s">
        <v>91</v>
      </c>
      <c r="J345" s="1" t="s">
        <v>92</v>
      </c>
      <c r="K345" s="1" t="s">
        <v>93</v>
      </c>
      <c r="L345" s="1" t="s">
        <v>305</v>
      </c>
      <c r="M345" s="1" t="s">
        <v>1190</v>
      </c>
      <c r="N345" s="1" t="s">
        <v>58</v>
      </c>
      <c r="O345" s="1">
        <v>9</v>
      </c>
      <c r="P345" s="3">
        <v>3837</v>
      </c>
      <c r="Q345" s="4">
        <v>0.1</v>
      </c>
      <c r="R345" s="4">
        <v>0.1</v>
      </c>
      <c r="S345" s="3">
        <v>31079.7</v>
      </c>
      <c r="T345" s="3">
        <v>17758.25</v>
      </c>
      <c r="U345" s="3">
        <v>13321.45</v>
      </c>
      <c r="V345" s="1" t="s">
        <v>43</v>
      </c>
      <c r="W345" s="1" t="s">
        <v>44</v>
      </c>
      <c r="X345" s="3">
        <f>IF(OR(O345="",P345="",R345=""),"",O345*P345*(1-R345))</f>
        <v>31079.7</v>
      </c>
      <c r="Y345" s="3">
        <f>IF(OR(X345="",T345=""),"",X345-T345)</f>
        <v>13321.45</v>
      </c>
      <c r="Z345" s="4">
        <f>IFERROR(Y345/X345,"")</f>
        <v>0.4286</v>
      </c>
      <c r="AA345" s="1">
        <f>IF(OR(C345="",D345=""),"",D345-C345)</f>
        <v>5</v>
      </c>
      <c r="AB345" s="1">
        <f>IF(C345="","",MONTH(C345))</f>
        <v>10</v>
      </c>
      <c r="AC345" s="1">
        <f>IF(C345="","",YEAR(C345))</f>
        <v>2025</v>
      </c>
      <c r="AD345" s="1" t="s">
        <v>45</v>
      </c>
      <c r="AE345" s="1" t="s">
        <v>46</v>
      </c>
      <c r="AF345" s="1" t="s">
        <v>47</v>
      </c>
    </row>
    <row r="346" spans="1:32" s="15" customFormat="1" x14ac:dyDescent="0.25">
      <c r="A346" s="16">
        <v>346</v>
      </c>
      <c r="B346" s="16" t="s">
        <v>1191</v>
      </c>
      <c r="C346" s="17">
        <v>45361.77083333333</v>
      </c>
      <c r="D346" s="17">
        <v>45361.77083333333</v>
      </c>
      <c r="E346" s="16" t="s">
        <v>1192</v>
      </c>
      <c r="F346" s="16" t="s">
        <v>135</v>
      </c>
      <c r="G346" s="16" t="s">
        <v>35</v>
      </c>
      <c r="H346" s="16" t="s">
        <v>36</v>
      </c>
      <c r="I346" s="16" t="s">
        <v>143</v>
      </c>
      <c r="J346" s="16" t="s">
        <v>144</v>
      </c>
      <c r="K346" s="16" t="s">
        <v>55</v>
      </c>
      <c r="L346" s="16" t="s">
        <v>182</v>
      </c>
      <c r="M346" s="16" t="s">
        <v>1193</v>
      </c>
      <c r="N346" s="16" t="s">
        <v>58</v>
      </c>
      <c r="O346" s="16">
        <v>9</v>
      </c>
      <c r="P346" s="18">
        <v>3456.38</v>
      </c>
      <c r="Q346" s="19">
        <v>0</v>
      </c>
      <c r="R346" s="19">
        <v>0</v>
      </c>
      <c r="S346" s="18">
        <v>31107.42</v>
      </c>
      <c r="T346" s="18">
        <v>20146.66</v>
      </c>
      <c r="U346" s="18">
        <v>10960.76</v>
      </c>
      <c r="V346" s="16" t="s">
        <v>131</v>
      </c>
      <c r="W346" s="16" t="s">
        <v>122</v>
      </c>
      <c r="X346" s="18">
        <f>IF(OR(O346="",P346="",R346=""),"",O346*P346*(1-R346))</f>
        <v>31107.42</v>
      </c>
      <c r="Y346" s="18">
        <f>IF(OR(X346="",T346=""),"",X346-T346)</f>
        <v>10960.76</v>
      </c>
      <c r="Z346" s="19">
        <f>IFERROR(Y346/X346,"")</f>
        <v>0.3524</v>
      </c>
      <c r="AA346" s="16">
        <f>IF(OR(C346="",D346=""),"",D346-C346)</f>
        <v>0</v>
      </c>
      <c r="AB346" s="16">
        <f>IF(C346="","",MONTH(C346))</f>
        <v>3</v>
      </c>
      <c r="AC346" s="16">
        <f>IF(C346="","",YEAR(C346))</f>
        <v>2024</v>
      </c>
      <c r="AD346" s="16" t="s">
        <v>86</v>
      </c>
      <c r="AE346" s="16" t="s">
        <v>66</v>
      </c>
      <c r="AF346" s="16" t="s">
        <v>132</v>
      </c>
    </row>
    <row r="347" spans="1:32" x14ac:dyDescent="0.25">
      <c r="A347" s="1">
        <v>347</v>
      </c>
      <c r="B347" s="1" t="s">
        <v>1194</v>
      </c>
      <c r="C347" s="2">
        <v>45548.77083333333</v>
      </c>
      <c r="D347" s="2">
        <v>45556.77083333333</v>
      </c>
      <c r="E347" s="1" t="s">
        <v>1195</v>
      </c>
      <c r="F347" s="1" t="s">
        <v>34</v>
      </c>
      <c r="G347" s="1" t="s">
        <v>35</v>
      </c>
      <c r="H347" s="1" t="s">
        <v>80</v>
      </c>
      <c r="I347" s="1" t="s">
        <v>91</v>
      </c>
      <c r="J347" s="1" t="s">
        <v>92</v>
      </c>
      <c r="K347" s="1" t="s">
        <v>55</v>
      </c>
      <c r="L347" s="1" t="s">
        <v>74</v>
      </c>
      <c r="M347" s="1" t="s">
        <v>1196</v>
      </c>
      <c r="N347" s="1" t="s">
        <v>42</v>
      </c>
      <c r="O347" s="1">
        <v>2</v>
      </c>
      <c r="P347" s="3">
        <v>2765.3</v>
      </c>
      <c r="Q347" s="4">
        <v>0</v>
      </c>
      <c r="R347" s="4">
        <v>0</v>
      </c>
      <c r="S347" s="3">
        <v>5530.6</v>
      </c>
      <c r="T347" s="3">
        <v>4453.11</v>
      </c>
      <c r="U347" s="3">
        <v>1077.49</v>
      </c>
      <c r="V347" s="1" t="s">
        <v>43</v>
      </c>
      <c r="W347" s="1" t="s">
        <v>44</v>
      </c>
      <c r="X347" s="3">
        <f>IF(OR(O347="",P347="",R347=""),"",O347*P347*(1-R347))</f>
        <v>5530.6</v>
      </c>
      <c r="Y347" s="3">
        <f>IF(OR(X347="",T347=""),"",X347-T347)</f>
        <v>1077.49</v>
      </c>
      <c r="Z347" s="4">
        <f>IFERROR(Y347/X347,"")</f>
        <v>0.1948</v>
      </c>
      <c r="AA347" s="1">
        <f>IF(OR(C347="",D347=""),"",D347-C347)</f>
        <v>8</v>
      </c>
      <c r="AB347" s="1">
        <f>IF(C347="","",MONTH(C347))</f>
        <v>9</v>
      </c>
      <c r="AC347" s="1">
        <f>IF(C347="","",YEAR(C347))</f>
        <v>2024</v>
      </c>
      <c r="AD347" s="1" t="s">
        <v>45</v>
      </c>
      <c r="AE347" s="1" t="s">
        <v>46</v>
      </c>
      <c r="AF347" s="1" t="s">
        <v>47</v>
      </c>
    </row>
    <row r="348" spans="1:32" x14ac:dyDescent="0.25">
      <c r="A348" s="1">
        <v>348</v>
      </c>
      <c r="B348" s="1" t="s">
        <v>1197</v>
      </c>
      <c r="C348" s="2">
        <v>45859.77083333333</v>
      </c>
      <c r="D348" s="2">
        <v>45865.77083333333</v>
      </c>
      <c r="E348" s="1" t="s">
        <v>1198</v>
      </c>
      <c r="F348" s="1" t="s">
        <v>139</v>
      </c>
      <c r="G348" s="1" t="s">
        <v>109</v>
      </c>
      <c r="H348" s="1" t="s">
        <v>71</v>
      </c>
      <c r="I348" s="1" t="s">
        <v>211</v>
      </c>
      <c r="J348" s="1" t="s">
        <v>212</v>
      </c>
      <c r="K348" s="1" t="s">
        <v>55</v>
      </c>
      <c r="L348" s="1" t="s">
        <v>83</v>
      </c>
      <c r="M348" s="1" t="s">
        <v>1199</v>
      </c>
      <c r="N348" s="1" t="s">
        <v>42</v>
      </c>
      <c r="O348" s="1">
        <v>6</v>
      </c>
      <c r="P348" s="3">
        <v>1607.46</v>
      </c>
      <c r="Q348" s="4">
        <v>0.2</v>
      </c>
      <c r="R348" s="4">
        <v>0.2</v>
      </c>
      <c r="S348" s="3">
        <v>7715.81</v>
      </c>
      <c r="T348" s="3">
        <v>4258.42</v>
      </c>
      <c r="U348" s="3">
        <v>3457.39</v>
      </c>
      <c r="V348" s="1" t="s">
        <v>43</v>
      </c>
      <c r="W348" s="1" t="s">
        <v>44</v>
      </c>
      <c r="X348" s="3">
        <f>IF(OR(O348="",P348="",R348=""),"",O348*P348*(1-R348))</f>
        <v>7715.81</v>
      </c>
      <c r="Y348" s="3">
        <f>IF(OR(X348="",T348=""),"",X348-T348)</f>
        <v>3457.39</v>
      </c>
      <c r="Z348" s="4">
        <f>IFERROR(Y348/X348,"")</f>
        <v>0.4481</v>
      </c>
      <c r="AA348" s="1">
        <f>IF(OR(C348="",D348=""),"",D348-C348)</f>
        <v>6</v>
      </c>
      <c r="AB348" s="1">
        <f>IF(C348="","",MONTH(C348))</f>
        <v>7</v>
      </c>
      <c r="AC348" s="1">
        <f>IF(C348="","",YEAR(C348))</f>
        <v>2025</v>
      </c>
      <c r="AD348" s="1" t="s">
        <v>45</v>
      </c>
      <c r="AE348" s="1" t="s">
        <v>46</v>
      </c>
      <c r="AF348" s="1" t="s">
        <v>47</v>
      </c>
    </row>
    <row r="349" spans="1:32" s="15" customFormat="1" x14ac:dyDescent="0.25">
      <c r="A349" s="16">
        <v>349</v>
      </c>
      <c r="B349" s="16" t="s">
        <v>1200</v>
      </c>
      <c r="C349" s="17">
        <v>45626.77083333333</v>
      </c>
      <c r="D349" s="17">
        <v>45633.77083333333</v>
      </c>
      <c r="E349" s="16" t="s">
        <v>1201</v>
      </c>
      <c r="F349" s="16" t="s">
        <v>149</v>
      </c>
      <c r="G349" s="16" t="s">
        <v>51</v>
      </c>
      <c r="H349" s="16" t="s">
        <v>80</v>
      </c>
      <c r="I349" s="16" t="s">
        <v>216</v>
      </c>
      <c r="J349" s="16" t="s">
        <v>217</v>
      </c>
      <c r="K349" s="16" t="s">
        <v>55</v>
      </c>
      <c r="L349" s="16" t="s">
        <v>83</v>
      </c>
      <c r="M349" s="16" t="s">
        <v>1202</v>
      </c>
      <c r="N349" s="16" t="s">
        <v>42</v>
      </c>
      <c r="O349" s="16">
        <v>5</v>
      </c>
      <c r="P349" s="18">
        <v>2981.49</v>
      </c>
      <c r="Q349" s="19">
        <v>0.2</v>
      </c>
      <c r="R349" s="19">
        <v>0.2</v>
      </c>
      <c r="S349" s="18">
        <v>11925.96</v>
      </c>
      <c r="T349" s="18">
        <v>10103.51</v>
      </c>
      <c r="U349" s="18">
        <v>1822.45</v>
      </c>
      <c r="V349" s="16" t="s">
        <v>121</v>
      </c>
      <c r="W349" s="16" t="s">
        <v>122</v>
      </c>
      <c r="X349" s="18">
        <f>IF(OR(O349="",P349="",R349=""),"",O349*P349*(1-R349))</f>
        <v>11925.96</v>
      </c>
      <c r="Y349" s="18">
        <f>IF(OR(X349="",T349=""),"",X349-T349)</f>
        <v>1822.45</v>
      </c>
      <c r="Z349" s="19">
        <f>IFERROR(Y349/X349,"")</f>
        <v>0.1528</v>
      </c>
      <c r="AA349" s="16">
        <f>IF(OR(C349="",D349=""),"",D349-C349)</f>
        <v>7</v>
      </c>
      <c r="AB349" s="16">
        <f>IF(C349="","",MONTH(C349))</f>
        <v>12</v>
      </c>
      <c r="AC349" s="16">
        <f>IF(C349="","",YEAR(C349))</f>
        <v>2024</v>
      </c>
      <c r="AD349" s="16" t="s">
        <v>86</v>
      </c>
      <c r="AE349" s="16" t="s">
        <v>66</v>
      </c>
      <c r="AF349" s="16" t="s">
        <v>123</v>
      </c>
    </row>
    <row r="350" spans="1:32" x14ac:dyDescent="0.25">
      <c r="A350" s="1">
        <v>350</v>
      </c>
      <c r="B350" s="1" t="s">
        <v>1203</v>
      </c>
      <c r="C350" s="2">
        <v>45444.77083333333</v>
      </c>
      <c r="D350" s="2">
        <v>45449.77083333333</v>
      </c>
      <c r="E350" s="1" t="s">
        <v>1204</v>
      </c>
      <c r="F350" s="1" t="s">
        <v>149</v>
      </c>
      <c r="G350" s="1" t="s">
        <v>109</v>
      </c>
      <c r="H350" s="1" t="s">
        <v>71</v>
      </c>
      <c r="I350" s="1" t="s">
        <v>201</v>
      </c>
      <c r="J350" s="1" t="s">
        <v>202</v>
      </c>
      <c r="K350" s="1" t="s">
        <v>93</v>
      </c>
      <c r="L350" s="1" t="s">
        <v>196</v>
      </c>
      <c r="M350" s="1" t="s">
        <v>1205</v>
      </c>
      <c r="N350" s="1" t="s">
        <v>58</v>
      </c>
      <c r="O350" s="1">
        <v>9</v>
      </c>
      <c r="P350" s="3">
        <v>2860.26</v>
      </c>
      <c r="Q350" s="4">
        <v>0.25</v>
      </c>
      <c r="R350" s="4">
        <v>0.25</v>
      </c>
      <c r="S350" s="3">
        <v>19306.76</v>
      </c>
      <c r="T350" s="3">
        <v>14442.38</v>
      </c>
      <c r="U350" s="3">
        <v>4864.38</v>
      </c>
      <c r="V350" s="1" t="s">
        <v>43</v>
      </c>
      <c r="W350" s="1" t="s">
        <v>44</v>
      </c>
      <c r="X350" s="3">
        <f>IF(OR(O350="",P350="",R350=""),"",O350*P350*(1-R350))</f>
        <v>19306.76</v>
      </c>
      <c r="Y350" s="3">
        <f>IF(OR(X350="",T350=""),"",X350-T350)</f>
        <v>4864.38</v>
      </c>
      <c r="Z350" s="4">
        <f>IFERROR(Y350/X350,"")</f>
        <v>0.252</v>
      </c>
      <c r="AA350" s="1">
        <f>IF(OR(C350="",D350=""),"",D350-C350)</f>
        <v>5</v>
      </c>
      <c r="AB350" s="1">
        <f>IF(C350="","",MONTH(C350))</f>
        <v>6</v>
      </c>
      <c r="AC350" s="1">
        <f>IF(C350="","",YEAR(C350))</f>
        <v>2024</v>
      </c>
      <c r="AD350" s="1" t="s">
        <v>45</v>
      </c>
      <c r="AE350" s="1" t="s">
        <v>46</v>
      </c>
      <c r="AF350" s="1" t="s">
        <v>47</v>
      </c>
    </row>
    <row r="351" spans="1:32" s="10" customFormat="1" x14ac:dyDescent="0.25">
      <c r="A351" s="11">
        <v>351</v>
      </c>
      <c r="B351" s="11" t="s">
        <v>1206</v>
      </c>
      <c r="C351" s="12">
        <v>45926.77083333333</v>
      </c>
      <c r="D351" s="12">
        <v>45928.77083333333</v>
      </c>
      <c r="E351" s="11" t="s">
        <v>1207</v>
      </c>
      <c r="F351" s="11" t="s">
        <v>294</v>
      </c>
      <c r="G351" s="11" t="s">
        <v>114</v>
      </c>
      <c r="H351" s="11" t="s">
        <v>52</v>
      </c>
      <c r="I351" s="11" t="s">
        <v>258</v>
      </c>
      <c r="J351" s="11" t="s">
        <v>259</v>
      </c>
      <c r="K351" s="11" t="s">
        <v>55</v>
      </c>
      <c r="L351" s="11" t="s">
        <v>74</v>
      </c>
      <c r="M351" s="11" t="s">
        <v>1208</v>
      </c>
      <c r="N351" s="11" t="s">
        <v>42</v>
      </c>
      <c r="O351" s="11">
        <v>9</v>
      </c>
      <c r="P351" s="13">
        <v>2867.55</v>
      </c>
      <c r="Q351" s="14">
        <v>0.25</v>
      </c>
      <c r="R351" s="14">
        <v>0.25</v>
      </c>
      <c r="S351" s="13">
        <v>19355.96</v>
      </c>
      <c r="T351" s="13">
        <v>15012.45</v>
      </c>
      <c r="U351" s="13">
        <v>4017.4</v>
      </c>
      <c r="V351" s="11" t="s">
        <v>43</v>
      </c>
      <c r="W351" s="11" t="s">
        <v>44</v>
      </c>
      <c r="X351" s="13">
        <f>IF(OR(O351="",P351="",R351=""),"",O351*P351*(1-R351))</f>
        <v>19355.96</v>
      </c>
      <c r="Y351" s="13">
        <f>IF(OR(X351="",T351=""),"",X351-T351)</f>
        <v>4343.51</v>
      </c>
      <c r="Z351" s="14">
        <f>IFERROR(Y351/X351,"")</f>
        <v>0.2244</v>
      </c>
      <c r="AA351" s="11">
        <f>IF(OR(C351="",D351=""),"",D351-C351)</f>
        <v>2</v>
      </c>
      <c r="AB351" s="11">
        <f>IF(C351="","",MONTH(C351))</f>
        <v>9</v>
      </c>
      <c r="AC351" s="11">
        <f>IF(C351="","",YEAR(C351))</f>
        <v>2025</v>
      </c>
      <c r="AD351" s="11" t="s">
        <v>65</v>
      </c>
      <c r="AE351" s="11" t="s">
        <v>66</v>
      </c>
      <c r="AF351" s="11" t="s">
        <v>332</v>
      </c>
    </row>
    <row r="352" spans="1:32" s="15" customFormat="1" x14ac:dyDescent="0.25">
      <c r="A352" s="16">
        <v>352</v>
      </c>
      <c r="B352" s="16" t="s">
        <v>1209</v>
      </c>
      <c r="C352" s="17">
        <v>45297.77083333333</v>
      </c>
      <c r="D352" s="17">
        <v>45304.77083333333</v>
      </c>
      <c r="E352" s="16" t="s">
        <v>1210</v>
      </c>
      <c r="F352" s="16" t="s">
        <v>153</v>
      </c>
      <c r="G352" s="16" t="s">
        <v>51</v>
      </c>
      <c r="H352" s="16" t="s">
        <v>52</v>
      </c>
      <c r="I352" s="16" t="s">
        <v>258</v>
      </c>
      <c r="J352" s="16" t="s">
        <v>259</v>
      </c>
      <c r="K352" s="16" t="s">
        <v>55</v>
      </c>
      <c r="L352" s="16" t="s">
        <v>74</v>
      </c>
      <c r="M352" s="16" t="s">
        <v>1211</v>
      </c>
      <c r="N352" s="16" t="s">
        <v>42</v>
      </c>
      <c r="O352" s="16">
        <v>4</v>
      </c>
      <c r="P352" s="18">
        <v>3309.54</v>
      </c>
      <c r="Q352" s="19">
        <v>0.1</v>
      </c>
      <c r="R352" s="19">
        <v>0.1</v>
      </c>
      <c r="S352" s="18">
        <v>11914.34</v>
      </c>
      <c r="T352" s="18">
        <v>9771.24</v>
      </c>
      <c r="U352" s="18">
        <v>2143.1</v>
      </c>
      <c r="V352" s="16" t="s">
        <v>121</v>
      </c>
      <c r="W352" s="16" t="s">
        <v>122</v>
      </c>
      <c r="X352" s="18">
        <f>IF(OR(O352="",P352="",R352=""),"",O352*P352*(1-R352))</f>
        <v>11914.34</v>
      </c>
      <c r="Y352" s="18">
        <f>IF(OR(X352="",T352=""),"",X352-T352)</f>
        <v>2143.1</v>
      </c>
      <c r="Z352" s="19">
        <f>IFERROR(Y352/X352,"")</f>
        <v>0.1799</v>
      </c>
      <c r="AA352" s="16">
        <f>IF(OR(C352="",D352=""),"",D352-C352)</f>
        <v>7</v>
      </c>
      <c r="AB352" s="16">
        <f>IF(C352="","",MONTH(C352))</f>
        <v>1</v>
      </c>
      <c r="AC352" s="16">
        <f>IF(C352="","",YEAR(C352))</f>
        <v>2024</v>
      </c>
      <c r="AD352" s="16" t="s">
        <v>86</v>
      </c>
      <c r="AE352" s="16" t="s">
        <v>66</v>
      </c>
      <c r="AF352" s="16" t="s">
        <v>123</v>
      </c>
    </row>
    <row r="353" spans="1:32" s="15" customFormat="1" x14ac:dyDescent="0.25">
      <c r="A353" s="16">
        <v>353</v>
      </c>
      <c r="B353" s="16" t="s">
        <v>1212</v>
      </c>
      <c r="C353" s="17">
        <v>45799.77083333333</v>
      </c>
      <c r="D353" s="17">
        <v>45803.77083333333</v>
      </c>
      <c r="E353" s="16" t="s">
        <v>1213</v>
      </c>
      <c r="F353" s="16" t="s">
        <v>90</v>
      </c>
      <c r="G353" s="16" t="s">
        <v>51</v>
      </c>
      <c r="H353" s="16" t="s">
        <v>71</v>
      </c>
      <c r="I353" s="16" t="s">
        <v>72</v>
      </c>
      <c r="J353" s="16" t="s">
        <v>73</v>
      </c>
      <c r="K353" s="16" t="s">
        <v>39</v>
      </c>
      <c r="L353" s="16" t="s">
        <v>145</v>
      </c>
      <c r="M353" s="16" t="s">
        <v>1214</v>
      </c>
      <c r="N353" s="16" t="s">
        <v>64</v>
      </c>
      <c r="O353" s="16">
        <v>6</v>
      </c>
      <c r="P353" s="18">
        <v>719.44</v>
      </c>
      <c r="Q353" s="19">
        <v>0.25</v>
      </c>
      <c r="R353" s="19">
        <v>0.25</v>
      </c>
      <c r="S353" s="18">
        <v>3237.48</v>
      </c>
      <c r="T353" s="18">
        <v>2118.34</v>
      </c>
      <c r="U353" s="18">
        <v>1119.14</v>
      </c>
      <c r="V353" s="16" t="s">
        <v>131</v>
      </c>
      <c r="W353" s="16" t="s">
        <v>85</v>
      </c>
      <c r="X353" s="18">
        <f>IF(OR(O353="",P353="",R353=""),"",O353*P353*(1-R353))</f>
        <v>3237.48</v>
      </c>
      <c r="Y353" s="18">
        <f>IF(OR(X353="",T353=""),"",X353-T353)</f>
        <v>1119.14</v>
      </c>
      <c r="Z353" s="19">
        <f>IFERROR(Y353/X353,"")</f>
        <v>0.3457</v>
      </c>
      <c r="AA353" s="16">
        <f>IF(OR(C353="",D353=""),"",D353-C353)</f>
        <v>4</v>
      </c>
      <c r="AB353" s="16">
        <f>IF(C353="","",MONTH(C353))</f>
        <v>5</v>
      </c>
      <c r="AC353" s="16">
        <f>IF(C353="","",YEAR(C353))</f>
        <v>2025</v>
      </c>
      <c r="AD353" s="16" t="s">
        <v>86</v>
      </c>
      <c r="AE353" s="16" t="s">
        <v>66</v>
      </c>
      <c r="AF353" s="16" t="s">
        <v>255</v>
      </c>
    </row>
    <row r="354" spans="1:32" x14ac:dyDescent="0.25">
      <c r="A354" s="1">
        <v>354</v>
      </c>
      <c r="B354" s="1" t="s">
        <v>1215</v>
      </c>
      <c r="C354" s="2">
        <v>45883.77083333333</v>
      </c>
      <c r="D354" s="2">
        <v>45885.77083333333</v>
      </c>
      <c r="E354" s="1" t="s">
        <v>1216</v>
      </c>
      <c r="F354" s="1" t="s">
        <v>186</v>
      </c>
      <c r="G354" s="1" t="s">
        <v>51</v>
      </c>
      <c r="H354" s="1" t="s">
        <v>52</v>
      </c>
      <c r="I354" s="1" t="s">
        <v>191</v>
      </c>
      <c r="J354" s="1" t="s">
        <v>192</v>
      </c>
      <c r="K354" s="1" t="s">
        <v>93</v>
      </c>
      <c r="L354" s="1" t="s">
        <v>99</v>
      </c>
      <c r="M354" s="1" t="s">
        <v>1217</v>
      </c>
      <c r="N354" s="1" t="s">
        <v>64</v>
      </c>
      <c r="O354" s="1">
        <v>5</v>
      </c>
      <c r="P354" s="3">
        <v>2862.6</v>
      </c>
      <c r="Q354" s="4">
        <v>0.25</v>
      </c>
      <c r="R354" s="4">
        <v>0.25</v>
      </c>
      <c r="S354" s="3">
        <v>10734.75</v>
      </c>
      <c r="T354" s="3">
        <v>6475.73</v>
      </c>
      <c r="U354" s="3">
        <v>4259.02</v>
      </c>
      <c r="V354" s="1" t="s">
        <v>43</v>
      </c>
      <c r="W354" s="1" t="s">
        <v>44</v>
      </c>
      <c r="X354" s="3">
        <f>IF(OR(O354="",P354="",R354=""),"",O354*P354*(1-R354))</f>
        <v>10734.75</v>
      </c>
      <c r="Y354" s="3">
        <f>IF(OR(X354="",T354=""),"",X354-T354)</f>
        <v>4259.02</v>
      </c>
      <c r="Z354" s="4">
        <f>IFERROR(Y354/X354,"")</f>
        <v>0.3968</v>
      </c>
      <c r="AA354" s="1">
        <f>IF(OR(C354="",D354=""),"",D354-C354)</f>
        <v>2</v>
      </c>
      <c r="AB354" s="1">
        <f>IF(C354="","",MONTH(C354))</f>
        <v>8</v>
      </c>
      <c r="AC354" s="1">
        <f>IF(C354="","",YEAR(C354))</f>
        <v>2025</v>
      </c>
      <c r="AD354" s="1" t="s">
        <v>45</v>
      </c>
      <c r="AE354" s="1" t="s">
        <v>46</v>
      </c>
      <c r="AF354" s="1" t="s">
        <v>47</v>
      </c>
    </row>
    <row r="355" spans="1:32" x14ac:dyDescent="0.25">
      <c r="A355" s="1">
        <v>355</v>
      </c>
      <c r="B355" s="1" t="s">
        <v>1218</v>
      </c>
      <c r="C355" s="2">
        <v>45708.77083333333</v>
      </c>
      <c r="D355" s="2">
        <v>45714.77083333333</v>
      </c>
      <c r="E355" s="1" t="s">
        <v>1219</v>
      </c>
      <c r="F355" s="1" t="s">
        <v>79</v>
      </c>
      <c r="G355" s="1" t="s">
        <v>35</v>
      </c>
      <c r="H355" s="1" t="s">
        <v>36</v>
      </c>
      <c r="I355" s="1" t="s">
        <v>37</v>
      </c>
      <c r="J355" s="1" t="s">
        <v>38</v>
      </c>
      <c r="K355" s="1" t="s">
        <v>39</v>
      </c>
      <c r="L355" s="1" t="s">
        <v>62</v>
      </c>
      <c r="M355" s="1" t="s">
        <v>1220</v>
      </c>
      <c r="N355" s="1" t="s">
        <v>58</v>
      </c>
      <c r="O355" s="1">
        <v>9</v>
      </c>
      <c r="P355" s="3">
        <v>1431.67</v>
      </c>
      <c r="Q355" s="4">
        <v>0.2</v>
      </c>
      <c r="R355" s="4">
        <v>0.2</v>
      </c>
      <c r="S355" s="3">
        <v>10308.02</v>
      </c>
      <c r="T355" s="3">
        <v>5822.31</v>
      </c>
      <c r="U355" s="3">
        <v>4485.71</v>
      </c>
      <c r="V355" s="1" t="s">
        <v>43</v>
      </c>
      <c r="W355" s="1" t="s">
        <v>44</v>
      </c>
      <c r="X355" s="3">
        <f>IF(OR(O355="",P355="",R355=""),"",O355*P355*(1-R355))</f>
        <v>10308.02</v>
      </c>
      <c r="Y355" s="3">
        <f>IF(OR(X355="",T355=""),"",X355-T355)</f>
        <v>4485.71</v>
      </c>
      <c r="Z355" s="4">
        <f>IFERROR(Y355/X355,"")</f>
        <v>0.4352</v>
      </c>
      <c r="AA355" s="1">
        <f>IF(OR(C355="",D355=""),"",D355-C355)</f>
        <v>6</v>
      </c>
      <c r="AB355" s="1">
        <f>IF(C355="","",MONTH(C355))</f>
        <v>2</v>
      </c>
      <c r="AC355" s="1">
        <f>IF(C355="","",YEAR(C355))</f>
        <v>2025</v>
      </c>
      <c r="AD355" s="1" t="s">
        <v>45</v>
      </c>
      <c r="AE355" s="1" t="s">
        <v>46</v>
      </c>
      <c r="AF355" s="1" t="s">
        <v>47</v>
      </c>
    </row>
    <row r="356" spans="1:32" s="10" customFormat="1" x14ac:dyDescent="0.25">
      <c r="A356" s="11">
        <v>356</v>
      </c>
      <c r="B356" s="11" t="s">
        <v>1221</v>
      </c>
      <c r="C356" s="12">
        <v>45652.77083333333</v>
      </c>
      <c r="D356" s="12">
        <v>45656.77083333333</v>
      </c>
      <c r="E356" s="11" t="s">
        <v>1222</v>
      </c>
      <c r="F356" s="11" t="s">
        <v>294</v>
      </c>
      <c r="G356" s="11" t="s">
        <v>109</v>
      </c>
      <c r="H356" s="11" t="s">
        <v>36</v>
      </c>
      <c r="I356" s="11" t="s">
        <v>143</v>
      </c>
      <c r="J356" s="11" t="s">
        <v>144</v>
      </c>
      <c r="K356" s="11" t="s">
        <v>55</v>
      </c>
      <c r="L356" s="11" t="s">
        <v>74</v>
      </c>
      <c r="M356" s="11" t="s">
        <v>1223</v>
      </c>
      <c r="N356" s="11" t="s">
        <v>76</v>
      </c>
      <c r="O356" s="11">
        <v>6</v>
      </c>
      <c r="P356" s="13">
        <v>3346.78</v>
      </c>
      <c r="Q356" s="14">
        <v>-0.06</v>
      </c>
      <c r="R356" s="14">
        <v>-0.06</v>
      </c>
      <c r="S356" s="13">
        <v>20080.68</v>
      </c>
      <c r="T356" s="13">
        <v>12908.84</v>
      </c>
      <c r="U356" s="13">
        <v>7171.84</v>
      </c>
      <c r="V356" s="11" t="s">
        <v>131</v>
      </c>
      <c r="W356" s="11" t="s">
        <v>85</v>
      </c>
      <c r="X356" s="13">
        <f>IF(OR(O356="",P356="",R356=""),"",O356*P356*(1-R356))</f>
        <v>21285.52</v>
      </c>
      <c r="Y356" s="13">
        <f>IF(OR(X356="",T356=""),"",X356-T356)</f>
        <v>8376.68</v>
      </c>
      <c r="Z356" s="14">
        <f>IFERROR(Y356/X356,"")</f>
        <v>0.3935</v>
      </c>
      <c r="AA356" s="11">
        <f>IF(OR(C356="",D356=""),"",D356-C356)</f>
        <v>4</v>
      </c>
      <c r="AB356" s="11">
        <f>IF(C356="","",MONTH(C356))</f>
        <v>12</v>
      </c>
      <c r="AC356" s="11">
        <f>IF(C356="","",YEAR(C356))</f>
        <v>2024</v>
      </c>
      <c r="AD356" s="11" t="s">
        <v>65</v>
      </c>
      <c r="AE356" s="11" t="s">
        <v>66</v>
      </c>
      <c r="AF356" s="11" t="s">
        <v>1224</v>
      </c>
    </row>
    <row r="357" spans="1:32" s="10" customFormat="1" x14ac:dyDescent="0.25">
      <c r="A357" s="11">
        <v>357</v>
      </c>
      <c r="B357" s="11" t="s">
        <v>1225</v>
      </c>
      <c r="C357" s="12">
        <v>45423.77083333333</v>
      </c>
      <c r="D357" s="12">
        <v>45420.77083333333</v>
      </c>
      <c r="E357" s="11" t="s">
        <v>1226</v>
      </c>
      <c r="F357" s="11" t="s">
        <v>135</v>
      </c>
      <c r="G357" s="11" t="s">
        <v>109</v>
      </c>
      <c r="H357" s="11" t="s">
        <v>80</v>
      </c>
      <c r="I357" s="11" t="s">
        <v>37</v>
      </c>
      <c r="J357" s="11" t="s">
        <v>129</v>
      </c>
      <c r="K357" s="11" t="s">
        <v>55</v>
      </c>
      <c r="L357" s="11" t="s">
        <v>56</v>
      </c>
      <c r="M357" s="11" t="s">
        <v>1227</v>
      </c>
      <c r="N357" s="11" t="s">
        <v>76</v>
      </c>
      <c r="O357" s="11">
        <v>5</v>
      </c>
      <c r="P357" s="13">
        <v>3203.48</v>
      </c>
      <c r="Q357" s="14">
        <v>0</v>
      </c>
      <c r="R357" s="14">
        <v>0</v>
      </c>
      <c r="S357" s="13">
        <v>16017.4</v>
      </c>
      <c r="T357" s="13">
        <v>9557.8</v>
      </c>
      <c r="U357" s="13">
        <v>6459.6</v>
      </c>
      <c r="V357" s="11" t="s">
        <v>131</v>
      </c>
      <c r="W357" s="11" t="s">
        <v>85</v>
      </c>
      <c r="X357" s="13">
        <f>IF(OR(O357="",P357="",R357=""),"",O357*P357*(1-R357))</f>
        <v>16017.4</v>
      </c>
      <c r="Y357" s="13">
        <f>IF(OR(X357="",T357=""),"",X357-T357)</f>
        <v>6459.6</v>
      </c>
      <c r="Z357" s="14">
        <f>IFERROR(Y357/X357,"")</f>
        <v>0.4033</v>
      </c>
      <c r="AA357" s="11">
        <f>IF(OR(C357="",D357=""),"",D357-C357)</f>
        <v>-3</v>
      </c>
      <c r="AB357" s="11">
        <f>IF(C357="","",MONTH(C357))</f>
        <v>5</v>
      </c>
      <c r="AC357" s="11">
        <f>IF(C357="","",YEAR(C357))</f>
        <v>2024</v>
      </c>
      <c r="AD357" s="11" t="s">
        <v>65</v>
      </c>
      <c r="AE357" s="11" t="s">
        <v>66</v>
      </c>
      <c r="AF357" s="11" t="s">
        <v>188</v>
      </c>
    </row>
    <row r="358" spans="1:32" s="15" customFormat="1" x14ac:dyDescent="0.25">
      <c r="A358" s="16">
        <v>358</v>
      </c>
      <c r="B358" s="16" t="s">
        <v>1228</v>
      </c>
      <c r="C358" s="17">
        <v>45834.77083333333</v>
      </c>
      <c r="D358" s="17">
        <v>45836.77083333333</v>
      </c>
      <c r="E358" s="16" t="s">
        <v>1229</v>
      </c>
      <c r="F358" s="16" t="s">
        <v>163</v>
      </c>
      <c r="G358" s="16" t="s">
        <v>114</v>
      </c>
      <c r="H358" s="16" t="s">
        <v>71</v>
      </c>
      <c r="I358" s="16" t="s">
        <v>72</v>
      </c>
      <c r="J358" s="16" t="s">
        <v>73</v>
      </c>
      <c r="K358" s="16" t="s">
        <v>55</v>
      </c>
      <c r="L358" s="16" t="s">
        <v>83</v>
      </c>
      <c r="M358" s="16" t="s">
        <v>1230</v>
      </c>
      <c r="N358" s="16" t="s">
        <v>64</v>
      </c>
      <c r="O358" s="16">
        <v>5</v>
      </c>
      <c r="P358" s="18">
        <v>621.7</v>
      </c>
      <c r="Q358" s="19">
        <v>0.2</v>
      </c>
      <c r="R358" s="19">
        <v>0.2</v>
      </c>
      <c r="S358" s="18">
        <v>2486.8</v>
      </c>
      <c r="T358" s="18">
        <v>2131.73</v>
      </c>
      <c r="U358" s="18">
        <v>355.07</v>
      </c>
      <c r="V358" s="16" t="s">
        <v>131</v>
      </c>
      <c r="W358" s="16" t="s">
        <v>122</v>
      </c>
      <c r="X358" s="18">
        <f>IF(OR(O358="",P358="",R358=""),"",O358*P358*(1-R358))</f>
        <v>2486.8</v>
      </c>
      <c r="Y358" s="18">
        <f>IF(OR(X358="",T358=""),"",X358-T358)</f>
        <v>355.07</v>
      </c>
      <c r="Z358" s="19">
        <f>IFERROR(Y358/X358,"")</f>
        <v>0.1428</v>
      </c>
      <c r="AA358" s="16">
        <f>IF(OR(C358="",D358=""),"",D358-C358)</f>
        <v>2</v>
      </c>
      <c r="AB358" s="16">
        <f>IF(C358="","",MONTH(C358))</f>
        <v>6</v>
      </c>
      <c r="AC358" s="16">
        <f>IF(C358="","",YEAR(C358))</f>
        <v>2025</v>
      </c>
      <c r="AD358" s="16" t="s">
        <v>86</v>
      </c>
      <c r="AE358" s="16" t="s">
        <v>66</v>
      </c>
      <c r="AF358" s="16" t="s">
        <v>132</v>
      </c>
    </row>
    <row r="359" spans="1:32" s="15" customFormat="1" x14ac:dyDescent="0.25">
      <c r="A359" s="16">
        <v>359</v>
      </c>
      <c r="B359" s="16" t="s">
        <v>1231</v>
      </c>
      <c r="C359" s="17">
        <v>45677.77083333333</v>
      </c>
      <c r="D359" s="17">
        <v>45685.77083333333</v>
      </c>
      <c r="E359" s="16" t="s">
        <v>1232</v>
      </c>
      <c r="F359" s="16" t="s">
        <v>50</v>
      </c>
      <c r="G359" s="16" t="s">
        <v>114</v>
      </c>
      <c r="H359" s="16" t="s">
        <v>71</v>
      </c>
      <c r="I359" s="16" t="s">
        <v>103</v>
      </c>
      <c r="J359" s="16" t="s">
        <v>104</v>
      </c>
      <c r="K359" s="16" t="s">
        <v>93</v>
      </c>
      <c r="L359" s="16" t="s">
        <v>305</v>
      </c>
      <c r="M359" s="16" t="s">
        <v>1233</v>
      </c>
      <c r="N359" s="16" t="s">
        <v>42</v>
      </c>
      <c r="O359" s="16">
        <v>8</v>
      </c>
      <c r="P359" s="18">
        <v>546.13</v>
      </c>
      <c r="Q359" s="19">
        <v>0</v>
      </c>
      <c r="R359" s="19">
        <v>0</v>
      </c>
      <c r="S359" s="18">
        <v>4369.04</v>
      </c>
      <c r="T359" s="18">
        <v>3716.88</v>
      </c>
      <c r="U359" s="18">
        <v>652.16</v>
      </c>
      <c r="V359" s="16" t="s">
        <v>43</v>
      </c>
      <c r="W359" s="16" t="s">
        <v>85</v>
      </c>
      <c r="X359" s="18">
        <f>IF(OR(O359="",P359="",R359=""),"",O359*P359*(1-R359))</f>
        <v>4369.04</v>
      </c>
      <c r="Y359" s="18">
        <f>IF(OR(X359="",T359=""),"",X359-T359)</f>
        <v>652.16</v>
      </c>
      <c r="Z359" s="19">
        <f>IFERROR(Y359/X359,"")</f>
        <v>0.1493</v>
      </c>
      <c r="AA359" s="16">
        <f>IF(OR(C359="",D359=""),"",D359-C359)</f>
        <v>8</v>
      </c>
      <c r="AB359" s="16">
        <f>IF(C359="","",MONTH(C359))</f>
        <v>1</v>
      </c>
      <c r="AC359" s="16">
        <f>IF(C359="","",YEAR(C359))</f>
        <v>2025</v>
      </c>
      <c r="AD359" s="16" t="s">
        <v>86</v>
      </c>
      <c r="AE359" s="16" t="s">
        <v>66</v>
      </c>
      <c r="AF359" s="16" t="s">
        <v>87</v>
      </c>
    </row>
    <row r="360" spans="1:32" s="10" customFormat="1" x14ac:dyDescent="0.25">
      <c r="A360" s="11">
        <v>360</v>
      </c>
      <c r="B360" s="11" t="s">
        <v>1234</v>
      </c>
      <c r="C360" s="12">
        <v>45877.77083333333</v>
      </c>
      <c r="D360" s="12">
        <v>45875.77083333333</v>
      </c>
      <c r="E360" s="11" t="s">
        <v>1235</v>
      </c>
      <c r="F360" s="11" t="s">
        <v>90</v>
      </c>
      <c r="G360" s="11" t="s">
        <v>114</v>
      </c>
      <c r="H360" s="11" t="s">
        <v>80</v>
      </c>
      <c r="I360" s="11" t="s">
        <v>206</v>
      </c>
      <c r="J360" s="11" t="s">
        <v>207</v>
      </c>
      <c r="K360" s="11" t="s">
        <v>55</v>
      </c>
      <c r="L360" s="11" t="s">
        <v>182</v>
      </c>
      <c r="M360" s="11" t="s">
        <v>1236</v>
      </c>
      <c r="N360" s="11" t="s">
        <v>42</v>
      </c>
      <c r="O360" s="11">
        <v>5</v>
      </c>
      <c r="P360" s="13">
        <v>1253.92</v>
      </c>
      <c r="Q360" s="14">
        <v>0.05</v>
      </c>
      <c r="R360" s="14">
        <v>0.05</v>
      </c>
      <c r="S360" s="13">
        <v>5956.12</v>
      </c>
      <c r="T360" s="13">
        <v>4379.18</v>
      </c>
      <c r="U360" s="13">
        <v>1576.94</v>
      </c>
      <c r="V360" s="11" t="s">
        <v>131</v>
      </c>
      <c r="W360" s="11" t="s">
        <v>122</v>
      </c>
      <c r="X360" s="13">
        <f>IF(OR(O360="",P360="",R360=""),"",O360*P360*(1-R360))</f>
        <v>5956.12</v>
      </c>
      <c r="Y360" s="13">
        <f>IF(OR(X360="",T360=""),"",X360-T360)</f>
        <v>1576.94</v>
      </c>
      <c r="Z360" s="14">
        <f>IFERROR(Y360/X360,"")</f>
        <v>0.2648</v>
      </c>
      <c r="AA360" s="11">
        <f>IF(OR(C360="",D360=""),"",D360-C360)</f>
        <v>-2</v>
      </c>
      <c r="AB360" s="11">
        <f>IF(C360="","",MONTH(C360))</f>
        <v>8</v>
      </c>
      <c r="AC360" s="11">
        <f>IF(C360="","",YEAR(C360))</f>
        <v>2025</v>
      </c>
      <c r="AD360" s="11" t="s">
        <v>65</v>
      </c>
      <c r="AE360" s="11" t="s">
        <v>66</v>
      </c>
      <c r="AF360" s="11" t="s">
        <v>1237</v>
      </c>
    </row>
    <row r="361" spans="1:32" x14ac:dyDescent="0.25">
      <c r="A361" s="1">
        <v>361</v>
      </c>
      <c r="B361" s="1" t="s">
        <v>1238</v>
      </c>
      <c r="C361" s="2">
        <v>45524.77083333333</v>
      </c>
      <c r="D361" s="2">
        <v>45525.77083333333</v>
      </c>
      <c r="E361" s="1" t="s">
        <v>1239</v>
      </c>
      <c r="F361" s="1" t="s">
        <v>61</v>
      </c>
      <c r="G361" s="1" t="s">
        <v>35</v>
      </c>
      <c r="H361" s="1" t="s">
        <v>71</v>
      </c>
      <c r="I361" s="1" t="s">
        <v>277</v>
      </c>
      <c r="J361" s="1" t="s">
        <v>278</v>
      </c>
      <c r="K361" s="1" t="s">
        <v>93</v>
      </c>
      <c r="L361" s="1" t="s">
        <v>196</v>
      </c>
      <c r="M361" s="1" t="s">
        <v>1240</v>
      </c>
      <c r="N361" s="1" t="s">
        <v>58</v>
      </c>
      <c r="O361" s="1">
        <v>9</v>
      </c>
      <c r="P361" s="3">
        <v>616.96</v>
      </c>
      <c r="Q361" s="4">
        <v>0.1</v>
      </c>
      <c r="R361" s="4">
        <v>0.1</v>
      </c>
      <c r="S361" s="3">
        <v>4997.38</v>
      </c>
      <c r="T361" s="3">
        <v>2971.39</v>
      </c>
      <c r="U361" s="3">
        <v>2025.99</v>
      </c>
      <c r="V361" s="1" t="s">
        <v>43</v>
      </c>
      <c r="W361" s="1" t="s">
        <v>44</v>
      </c>
      <c r="X361" s="3">
        <f>IF(OR(O361="",P361="",R361=""),"",O361*P361*(1-R361))</f>
        <v>4997.38</v>
      </c>
      <c r="Y361" s="3">
        <f>IF(OR(X361="",T361=""),"",X361-T361)</f>
        <v>2025.99</v>
      </c>
      <c r="Z361" s="4">
        <f>IFERROR(Y361/X361,"")</f>
        <v>0.4054</v>
      </c>
      <c r="AA361" s="1">
        <f>IF(OR(C361="",D361=""),"",D361-C361)</f>
        <v>1</v>
      </c>
      <c r="AB361" s="1">
        <f>IF(C361="","",MONTH(C361))</f>
        <v>8</v>
      </c>
      <c r="AC361" s="1">
        <f>IF(C361="","",YEAR(C361))</f>
        <v>2024</v>
      </c>
      <c r="AD361" s="1" t="s">
        <v>45</v>
      </c>
      <c r="AE361" s="1" t="s">
        <v>46</v>
      </c>
      <c r="AF361" s="1" t="s">
        <v>47</v>
      </c>
    </row>
    <row r="362" spans="1:32" s="15" customFormat="1" x14ac:dyDescent="0.25">
      <c r="A362" s="16">
        <v>362</v>
      </c>
      <c r="B362" s="16" t="s">
        <v>1241</v>
      </c>
      <c r="C362" s="17">
        <v>45459.77083333333</v>
      </c>
      <c r="D362" s="17">
        <v>45462.77083333333</v>
      </c>
      <c r="E362" s="16" t="s">
        <v>1242</v>
      </c>
      <c r="F362" s="16" t="s">
        <v>153</v>
      </c>
      <c r="G362" s="16" t="s">
        <v>51</v>
      </c>
      <c r="H362" s="16" t="s">
        <v>80</v>
      </c>
      <c r="I362" s="16" t="s">
        <v>206</v>
      </c>
      <c r="J362" s="16" t="s">
        <v>207</v>
      </c>
      <c r="K362" s="16" t="s">
        <v>55</v>
      </c>
      <c r="L362" s="16" t="s">
        <v>74</v>
      </c>
      <c r="M362" s="16" t="s">
        <v>1243</v>
      </c>
      <c r="N362" s="16" t="s">
        <v>76</v>
      </c>
      <c r="O362" s="16">
        <v>7</v>
      </c>
      <c r="P362" s="18">
        <v>3155.25</v>
      </c>
      <c r="Q362" s="19">
        <v>0.2</v>
      </c>
      <c r="R362" s="19">
        <v>0.2</v>
      </c>
      <c r="S362" s="18">
        <v>17669.4</v>
      </c>
      <c r="T362" s="18">
        <v>13718.77</v>
      </c>
      <c r="U362" s="18">
        <v>3950.63</v>
      </c>
      <c r="V362" s="16" t="s">
        <v>121</v>
      </c>
      <c r="W362" s="16" t="s">
        <v>85</v>
      </c>
      <c r="X362" s="18">
        <f>IF(OR(O362="",P362="",R362=""),"",O362*P362*(1-R362))</f>
        <v>17669.4</v>
      </c>
      <c r="Y362" s="18">
        <f>IF(OR(X362="",T362=""),"",X362-T362)</f>
        <v>3950.63</v>
      </c>
      <c r="Z362" s="19">
        <f>IFERROR(Y362/X362,"")</f>
        <v>0.2236</v>
      </c>
      <c r="AA362" s="16">
        <f>IF(OR(C362="",D362=""),"",D362-C362)</f>
        <v>3</v>
      </c>
      <c r="AB362" s="16">
        <f>IF(C362="","",MONTH(C362))</f>
        <v>6</v>
      </c>
      <c r="AC362" s="16">
        <f>IF(C362="","",YEAR(C362))</f>
        <v>2024</v>
      </c>
      <c r="AD362" s="16" t="s">
        <v>86</v>
      </c>
      <c r="AE362" s="16" t="s">
        <v>66</v>
      </c>
      <c r="AF362" s="16" t="s">
        <v>160</v>
      </c>
    </row>
    <row r="363" spans="1:32" s="15" customFormat="1" x14ac:dyDescent="0.25">
      <c r="A363" s="16">
        <v>363</v>
      </c>
      <c r="B363" s="16" t="s">
        <v>1244</v>
      </c>
      <c r="C363" s="17">
        <v>45747.77083333333</v>
      </c>
      <c r="D363" s="17">
        <v>45748.77083333333</v>
      </c>
      <c r="E363" s="16" t="s">
        <v>1245</v>
      </c>
      <c r="F363" s="16" t="s">
        <v>163</v>
      </c>
      <c r="G363" s="16" t="s">
        <v>109</v>
      </c>
      <c r="H363" s="16" t="s">
        <v>52</v>
      </c>
      <c r="I363" s="16" t="s">
        <v>53</v>
      </c>
      <c r="J363" s="16" t="s">
        <v>54</v>
      </c>
      <c r="K363" s="16" t="s">
        <v>55</v>
      </c>
      <c r="L363" s="16" t="s">
        <v>83</v>
      </c>
      <c r="M363" s="16" t="s">
        <v>1246</v>
      </c>
      <c r="N363" s="16" t="s">
        <v>42</v>
      </c>
      <c r="O363" s="16">
        <v>9</v>
      </c>
      <c r="P363" s="18">
        <v>4165.58</v>
      </c>
      <c r="Q363" s="19">
        <v>0.05</v>
      </c>
      <c r="R363" s="19">
        <v>0.05</v>
      </c>
      <c r="S363" s="18">
        <v>35615.71</v>
      </c>
      <c r="T363" s="18">
        <v>20389.71</v>
      </c>
      <c r="U363" s="18">
        <v>15226</v>
      </c>
      <c r="V363" s="16" t="s">
        <v>131</v>
      </c>
      <c r="W363" s="16" t="s">
        <v>122</v>
      </c>
      <c r="X363" s="18">
        <f>IF(OR(O363="",P363="",R363=""),"",O363*P363*(1-R363))</f>
        <v>35615.71</v>
      </c>
      <c r="Y363" s="18">
        <f>IF(OR(X363="",T363=""),"",X363-T363)</f>
        <v>15226</v>
      </c>
      <c r="Z363" s="19">
        <f>IFERROR(Y363/X363,"")</f>
        <v>0.4275</v>
      </c>
      <c r="AA363" s="16">
        <f>IF(OR(C363="",D363=""),"",D363-C363)</f>
        <v>1</v>
      </c>
      <c r="AB363" s="16">
        <f>IF(C363="","",MONTH(C363))</f>
        <v>4</v>
      </c>
      <c r="AC363" s="16">
        <f>IF(C363="","",YEAR(C363))</f>
        <v>2025</v>
      </c>
      <c r="AD363" s="16" t="s">
        <v>86</v>
      </c>
      <c r="AE363" s="16" t="s">
        <v>66</v>
      </c>
      <c r="AF363" s="16" t="s">
        <v>132</v>
      </c>
    </row>
    <row r="364" spans="1:32" x14ac:dyDescent="0.25">
      <c r="A364" s="1">
        <v>364</v>
      </c>
      <c r="B364" s="1" t="s">
        <v>1247</v>
      </c>
      <c r="C364" s="2">
        <v>45526.77083333333</v>
      </c>
      <c r="D364" s="2">
        <v>45528.77083333333</v>
      </c>
      <c r="E364" s="1" t="s">
        <v>1248</v>
      </c>
      <c r="F364" s="1" t="s">
        <v>90</v>
      </c>
      <c r="G364" s="1" t="s">
        <v>35</v>
      </c>
      <c r="H364" s="1" t="s">
        <v>80</v>
      </c>
      <c r="I364" s="1" t="s">
        <v>216</v>
      </c>
      <c r="J364" s="1" t="s">
        <v>217</v>
      </c>
      <c r="K364" s="1" t="s">
        <v>93</v>
      </c>
      <c r="L364" s="1" t="s">
        <v>305</v>
      </c>
      <c r="M364" s="1" t="s">
        <v>1249</v>
      </c>
      <c r="N364" s="1" t="s">
        <v>58</v>
      </c>
      <c r="O364" s="1">
        <v>4</v>
      </c>
      <c r="P364" s="3">
        <v>491.16</v>
      </c>
      <c r="Q364" s="4">
        <v>0.05</v>
      </c>
      <c r="R364" s="4">
        <v>0.05</v>
      </c>
      <c r="S364" s="3">
        <v>1866.41</v>
      </c>
      <c r="T364" s="3">
        <v>1576.49</v>
      </c>
      <c r="U364" s="3">
        <v>289.92</v>
      </c>
      <c r="V364" s="1" t="s">
        <v>43</v>
      </c>
      <c r="W364" s="1" t="s">
        <v>44</v>
      </c>
      <c r="X364" s="3">
        <f>IF(OR(O364="",P364="",R364=""),"",O364*P364*(1-R364))</f>
        <v>1866.41</v>
      </c>
      <c r="Y364" s="3">
        <f>IF(OR(X364="",T364=""),"",X364-T364)</f>
        <v>289.92</v>
      </c>
      <c r="Z364" s="4">
        <f>IFERROR(Y364/X364,"")</f>
        <v>0.1553</v>
      </c>
      <c r="AA364" s="1">
        <f>IF(OR(C364="",D364=""),"",D364-C364)</f>
        <v>2</v>
      </c>
      <c r="AB364" s="1">
        <f>IF(C364="","",MONTH(C364))</f>
        <v>8</v>
      </c>
      <c r="AC364" s="1">
        <f>IF(C364="","",YEAR(C364))</f>
        <v>2024</v>
      </c>
      <c r="AD364" s="1" t="s">
        <v>45</v>
      </c>
      <c r="AE364" s="1" t="s">
        <v>46</v>
      </c>
      <c r="AF364" s="1" t="s">
        <v>47</v>
      </c>
    </row>
    <row r="365" spans="1:32" x14ac:dyDescent="0.25">
      <c r="A365" s="1">
        <v>365</v>
      </c>
      <c r="B365" s="1" t="s">
        <v>1250</v>
      </c>
      <c r="C365" s="2">
        <v>45844.77083333333</v>
      </c>
      <c r="D365" s="2">
        <v>45849.77083333333</v>
      </c>
      <c r="E365" s="1" t="s">
        <v>1251</v>
      </c>
      <c r="F365" s="1" t="s">
        <v>186</v>
      </c>
      <c r="G365" s="1" t="s">
        <v>109</v>
      </c>
      <c r="H365" s="1" t="s">
        <v>52</v>
      </c>
      <c r="I365" s="1" t="s">
        <v>118</v>
      </c>
      <c r="J365" s="1" t="s">
        <v>119</v>
      </c>
      <c r="K365" s="1" t="s">
        <v>55</v>
      </c>
      <c r="L365" s="1" t="s">
        <v>56</v>
      </c>
      <c r="M365" s="1" t="s">
        <v>1252</v>
      </c>
      <c r="N365" s="1" t="s">
        <v>42</v>
      </c>
      <c r="O365" s="1">
        <v>5</v>
      </c>
      <c r="P365" s="3">
        <v>1831.37</v>
      </c>
      <c r="Q365" s="4">
        <v>0.25</v>
      </c>
      <c r="R365" s="4">
        <v>0.25</v>
      </c>
      <c r="S365" s="3">
        <v>6867.64</v>
      </c>
      <c r="T365" s="3">
        <v>5205.36</v>
      </c>
      <c r="U365" s="3">
        <v>1662.28</v>
      </c>
      <c r="V365" s="1" t="s">
        <v>43</v>
      </c>
      <c r="W365" s="1" t="s">
        <v>44</v>
      </c>
      <c r="X365" s="3">
        <f>IF(OR(O365="",P365="",R365=""),"",O365*P365*(1-R365))</f>
        <v>6867.64</v>
      </c>
      <c r="Y365" s="3">
        <f>IF(OR(X365="",T365=""),"",X365-T365)</f>
        <v>1662.28</v>
      </c>
      <c r="Z365" s="4">
        <f>IFERROR(Y365/X365,"")</f>
        <v>0.242</v>
      </c>
      <c r="AA365" s="1">
        <f>IF(OR(C365="",D365=""),"",D365-C365)</f>
        <v>5</v>
      </c>
      <c r="AB365" s="1">
        <f>IF(C365="","",MONTH(C365))</f>
        <v>7</v>
      </c>
      <c r="AC365" s="1">
        <f>IF(C365="","",YEAR(C365))</f>
        <v>2025</v>
      </c>
      <c r="AD365" s="1" t="s">
        <v>45</v>
      </c>
      <c r="AE365" s="1" t="s">
        <v>46</v>
      </c>
      <c r="AF365" s="1" t="s">
        <v>47</v>
      </c>
    </row>
    <row r="366" spans="1:32" x14ac:dyDescent="0.25">
      <c r="A366" s="1">
        <v>366</v>
      </c>
      <c r="B366" s="1" t="s">
        <v>1253</v>
      </c>
      <c r="C366" s="2">
        <v>45736.77083333333</v>
      </c>
      <c r="D366" s="2">
        <v>45739.77083333333</v>
      </c>
      <c r="E366" s="1" t="s">
        <v>1254</v>
      </c>
      <c r="F366" s="1" t="s">
        <v>149</v>
      </c>
      <c r="G366" s="1" t="s">
        <v>51</v>
      </c>
      <c r="H366" s="1" t="s">
        <v>71</v>
      </c>
      <c r="I366" s="1" t="s">
        <v>103</v>
      </c>
      <c r="J366" s="1" t="s">
        <v>104</v>
      </c>
      <c r="K366" s="1" t="s">
        <v>55</v>
      </c>
      <c r="L366" s="1" t="s">
        <v>83</v>
      </c>
      <c r="M366" s="1" t="s">
        <v>1255</v>
      </c>
      <c r="N366" s="1" t="s">
        <v>42</v>
      </c>
      <c r="O366" s="1">
        <v>5</v>
      </c>
      <c r="P366" s="3">
        <v>1239.15</v>
      </c>
      <c r="Q366" s="4">
        <v>0</v>
      </c>
      <c r="R366" s="4">
        <v>0</v>
      </c>
      <c r="S366" s="3">
        <v>6195.75</v>
      </c>
      <c r="T366" s="3">
        <v>3967.02</v>
      </c>
      <c r="U366" s="3">
        <v>2228.73</v>
      </c>
      <c r="V366" s="1" t="s">
        <v>43</v>
      </c>
      <c r="W366" s="1" t="s">
        <v>44</v>
      </c>
      <c r="X366" s="3">
        <f>IF(OR(O366="",P366="",R366=""),"",O366*P366*(1-R366))</f>
        <v>6195.75</v>
      </c>
      <c r="Y366" s="3">
        <f>IF(OR(X366="",T366=""),"",X366-T366)</f>
        <v>2228.73</v>
      </c>
      <c r="Z366" s="4">
        <f>IFERROR(Y366/X366,"")</f>
        <v>0.3597</v>
      </c>
      <c r="AA366" s="1">
        <f>IF(OR(C366="",D366=""),"",D366-C366)</f>
        <v>3</v>
      </c>
      <c r="AB366" s="1">
        <f>IF(C366="","",MONTH(C366))</f>
        <v>3</v>
      </c>
      <c r="AC366" s="1">
        <f>IF(C366="","",YEAR(C366))</f>
        <v>2025</v>
      </c>
      <c r="AD366" s="1" t="s">
        <v>45</v>
      </c>
      <c r="AE366" s="1" t="s">
        <v>46</v>
      </c>
      <c r="AF366" s="1" t="s">
        <v>47</v>
      </c>
    </row>
    <row r="367" spans="1:32" s="10" customFormat="1" x14ac:dyDescent="0.25">
      <c r="A367" s="11">
        <v>367</v>
      </c>
      <c r="B367" s="11" t="s">
        <v>1256</v>
      </c>
      <c r="C367" s="12">
        <v>45457.77083333333</v>
      </c>
      <c r="D367" s="12">
        <v>45463.77083333333</v>
      </c>
      <c r="E367" s="11" t="s">
        <v>1257</v>
      </c>
      <c r="F367" s="11" t="s">
        <v>108</v>
      </c>
      <c r="G367" s="11" t="s">
        <v>109</v>
      </c>
      <c r="H367" s="11" t="s">
        <v>80</v>
      </c>
      <c r="I367" s="11" t="s">
        <v>216</v>
      </c>
      <c r="J367" s="11" t="s">
        <v>217</v>
      </c>
      <c r="K367" s="11" t="s">
        <v>93</v>
      </c>
      <c r="L367" s="11" t="s">
        <v>94</v>
      </c>
      <c r="M367" s="11" t="s">
        <v>1258</v>
      </c>
      <c r="N367" s="11" t="s">
        <v>64</v>
      </c>
      <c r="O367" s="11">
        <v>8</v>
      </c>
      <c r="P367" s="13">
        <v>1706.4</v>
      </c>
      <c r="Q367" s="14"/>
      <c r="R367" s="14">
        <v>0</v>
      </c>
      <c r="S367" s="13">
        <v>12968.64</v>
      </c>
      <c r="T367" s="13">
        <v>10119.61</v>
      </c>
      <c r="U367" s="13">
        <v>2849.03</v>
      </c>
      <c r="V367" s="11" t="s">
        <v>43</v>
      </c>
      <c r="W367" s="11" t="s">
        <v>44</v>
      </c>
      <c r="X367" s="13">
        <f>IF(OR(O367="",P367="",R367=""),"",O367*P367*(1-R367))</f>
        <v>13651.2</v>
      </c>
      <c r="Y367" s="13">
        <f>IF(OR(X367="",T367=""),"",X367-T367)</f>
        <v>3531.59</v>
      </c>
      <c r="Z367" s="14">
        <f>IFERROR(Y367/X367,"")</f>
        <v>0.2587</v>
      </c>
      <c r="AA367" s="11">
        <f>IF(OR(C367="",D367=""),"",D367-C367)</f>
        <v>6</v>
      </c>
      <c r="AB367" s="11">
        <f>IF(C367="","",MONTH(C367))</f>
        <v>6</v>
      </c>
      <c r="AC367" s="11">
        <f>IF(C367="","",YEAR(C367))</f>
        <v>2024</v>
      </c>
      <c r="AD367" s="11" t="s">
        <v>65</v>
      </c>
      <c r="AE367" s="11" t="s">
        <v>66</v>
      </c>
      <c r="AF367" s="11" t="s">
        <v>225</v>
      </c>
    </row>
    <row r="368" spans="1:32" x14ac:dyDescent="0.25">
      <c r="A368" s="1">
        <v>368</v>
      </c>
      <c r="B368" s="1" t="s">
        <v>1259</v>
      </c>
      <c r="C368" s="2">
        <v>45672.77083333333</v>
      </c>
      <c r="D368" s="2">
        <v>45678.77083333333</v>
      </c>
      <c r="E368" s="1" t="s">
        <v>1260</v>
      </c>
      <c r="F368" s="1" t="s">
        <v>153</v>
      </c>
      <c r="G368" s="1" t="s">
        <v>109</v>
      </c>
      <c r="H368" s="1" t="s">
        <v>36</v>
      </c>
      <c r="I368" s="1" t="s">
        <v>37</v>
      </c>
      <c r="J368" s="1" t="s">
        <v>38</v>
      </c>
      <c r="K368" s="1" t="s">
        <v>55</v>
      </c>
      <c r="L368" s="1" t="s">
        <v>56</v>
      </c>
      <c r="M368" s="1" t="s">
        <v>1261</v>
      </c>
      <c r="N368" s="1" t="s">
        <v>58</v>
      </c>
      <c r="O368" s="1">
        <v>2</v>
      </c>
      <c r="P368" s="3">
        <v>4418.28</v>
      </c>
      <c r="Q368" s="4">
        <v>0</v>
      </c>
      <c r="R368" s="4">
        <v>0</v>
      </c>
      <c r="S368" s="3">
        <v>8836.56</v>
      </c>
      <c r="T368" s="3">
        <v>5867.75</v>
      </c>
      <c r="U368" s="3">
        <v>2968.81</v>
      </c>
      <c r="V368" s="1" t="s">
        <v>43</v>
      </c>
      <c r="W368" s="1" t="s">
        <v>44</v>
      </c>
      <c r="X368" s="3">
        <f>IF(OR(O368="",P368="",R368=""),"",O368*P368*(1-R368))</f>
        <v>8836.56</v>
      </c>
      <c r="Y368" s="3">
        <f>IF(OR(X368="",T368=""),"",X368-T368)</f>
        <v>2968.81</v>
      </c>
      <c r="Z368" s="4">
        <f>IFERROR(Y368/X368,"")</f>
        <v>0.336</v>
      </c>
      <c r="AA368" s="1">
        <f>IF(OR(C368="",D368=""),"",D368-C368)</f>
        <v>6</v>
      </c>
      <c r="AB368" s="1">
        <f>IF(C368="","",MONTH(C368))</f>
        <v>1</v>
      </c>
      <c r="AC368" s="1">
        <f>IF(C368="","",YEAR(C368))</f>
        <v>2025</v>
      </c>
      <c r="AD368" s="1" t="s">
        <v>45</v>
      </c>
      <c r="AE368" s="1" t="s">
        <v>46</v>
      </c>
      <c r="AF368" s="1" t="s">
        <v>47</v>
      </c>
    </row>
    <row r="369" spans="1:32" s="15" customFormat="1" x14ac:dyDescent="0.25">
      <c r="A369" s="16">
        <v>369</v>
      </c>
      <c r="B369" s="16" t="s">
        <v>1262</v>
      </c>
      <c r="C369" s="17">
        <v>45365.77083333333</v>
      </c>
      <c r="D369" s="17">
        <v>45366.77083333333</v>
      </c>
      <c r="E369" s="16" t="s">
        <v>1263</v>
      </c>
      <c r="F369" s="16" t="s">
        <v>163</v>
      </c>
      <c r="G369" s="16" t="s">
        <v>35</v>
      </c>
      <c r="H369" s="16" t="s">
        <v>36</v>
      </c>
      <c r="I369" s="16" t="s">
        <v>384</v>
      </c>
      <c r="J369" s="16" t="s">
        <v>385</v>
      </c>
      <c r="K369" s="16" t="s">
        <v>39</v>
      </c>
      <c r="L369" s="16" t="s">
        <v>62</v>
      </c>
      <c r="M369" s="16" t="s">
        <v>1264</v>
      </c>
      <c r="N369" s="16" t="s">
        <v>76</v>
      </c>
      <c r="O369" s="16">
        <v>6</v>
      </c>
      <c r="P369" s="18">
        <v>3815.09</v>
      </c>
      <c r="Q369" s="19">
        <v>0.15</v>
      </c>
      <c r="R369" s="19">
        <v>0.15</v>
      </c>
      <c r="S369" s="18">
        <v>19456.96</v>
      </c>
      <c r="T369" s="18">
        <v>14520.06</v>
      </c>
      <c r="U369" s="18">
        <v>4936.9</v>
      </c>
      <c r="V369" s="16" t="s">
        <v>178</v>
      </c>
      <c r="W369" s="16" t="s">
        <v>85</v>
      </c>
      <c r="X369" s="18">
        <f>IF(OR(O369="",P369="",R369=""),"",O369*P369*(1-R369))</f>
        <v>19456.96</v>
      </c>
      <c r="Y369" s="18">
        <f>IF(OR(X369="",T369=""),"",X369-T369)</f>
        <v>4936.9</v>
      </c>
      <c r="Z369" s="19">
        <f>IFERROR(Y369/X369,"")</f>
        <v>0.2537</v>
      </c>
      <c r="AA369" s="16">
        <f>IF(OR(C369="",D369=""),"",D369-C369)</f>
        <v>1</v>
      </c>
      <c r="AB369" s="16">
        <f>IF(C369="","",MONTH(C369))</f>
        <v>3</v>
      </c>
      <c r="AC369" s="16">
        <f>IF(C369="","",YEAR(C369))</f>
        <v>2024</v>
      </c>
      <c r="AD369" s="16" t="s">
        <v>86</v>
      </c>
      <c r="AE369" s="16" t="s">
        <v>66</v>
      </c>
      <c r="AF369" s="16" t="s">
        <v>296</v>
      </c>
    </row>
    <row r="370" spans="1:32" s="15" customFormat="1" x14ac:dyDescent="0.25">
      <c r="A370" s="16">
        <v>370</v>
      </c>
      <c r="B370" s="16" t="s">
        <v>1265</v>
      </c>
      <c r="C370" s="17">
        <v>45843.77083333333</v>
      </c>
      <c r="D370" s="17">
        <v>45843.77083333333</v>
      </c>
      <c r="E370" s="16" t="s">
        <v>1266</v>
      </c>
      <c r="F370" s="16" t="s">
        <v>149</v>
      </c>
      <c r="G370" s="16" t="s">
        <v>114</v>
      </c>
      <c r="H370" s="16" t="s">
        <v>36</v>
      </c>
      <c r="I370" s="16" t="s">
        <v>37</v>
      </c>
      <c r="J370" s="16" t="s">
        <v>38</v>
      </c>
      <c r="K370" s="16" t="s">
        <v>93</v>
      </c>
      <c r="L370" s="16" t="s">
        <v>94</v>
      </c>
      <c r="M370" s="16" t="s">
        <v>1267</v>
      </c>
      <c r="N370" s="16" t="s">
        <v>58</v>
      </c>
      <c r="O370" s="16">
        <v>9</v>
      </c>
      <c r="P370" s="18">
        <v>243.19</v>
      </c>
      <c r="Q370" s="19">
        <v>0.05</v>
      </c>
      <c r="R370" s="19">
        <v>0.05</v>
      </c>
      <c r="S370" s="18">
        <v>2079.27</v>
      </c>
      <c r="T370" s="18">
        <v>1512.17</v>
      </c>
      <c r="U370" s="18">
        <v>567.1</v>
      </c>
      <c r="V370" s="16" t="s">
        <v>121</v>
      </c>
      <c r="W370" s="16" t="s">
        <v>122</v>
      </c>
      <c r="X370" s="18">
        <f>IF(OR(O370="",P370="",R370=""),"",O370*P370*(1-R370))</f>
        <v>2079.27</v>
      </c>
      <c r="Y370" s="18">
        <f>IF(OR(X370="",T370=""),"",X370-T370)</f>
        <v>567.1</v>
      </c>
      <c r="Z370" s="19">
        <f>IFERROR(Y370/X370,"")</f>
        <v>0.2727</v>
      </c>
      <c r="AA370" s="16">
        <f>IF(OR(C370="",D370=""),"",D370-C370)</f>
        <v>0</v>
      </c>
      <c r="AB370" s="16">
        <f>IF(C370="","",MONTH(C370))</f>
        <v>7</v>
      </c>
      <c r="AC370" s="16">
        <f>IF(C370="","",YEAR(C370))</f>
        <v>2025</v>
      </c>
      <c r="AD370" s="16" t="s">
        <v>86</v>
      </c>
      <c r="AE370" s="16" t="s">
        <v>66</v>
      </c>
      <c r="AF370" s="16" t="s">
        <v>123</v>
      </c>
    </row>
    <row r="371" spans="1:32" x14ac:dyDescent="0.25">
      <c r="A371" s="1">
        <v>371</v>
      </c>
      <c r="B371" s="1" t="s">
        <v>1268</v>
      </c>
      <c r="C371" s="2">
        <v>45679.77083333333</v>
      </c>
      <c r="D371" s="2">
        <v>45686.77083333333</v>
      </c>
      <c r="E371" s="1" t="s">
        <v>1269</v>
      </c>
      <c r="F371" s="1" t="s">
        <v>135</v>
      </c>
      <c r="G371" s="1" t="s">
        <v>35</v>
      </c>
      <c r="H371" s="1" t="s">
        <v>36</v>
      </c>
      <c r="I371" s="1" t="s">
        <v>384</v>
      </c>
      <c r="J371" s="1" t="s">
        <v>385</v>
      </c>
      <c r="K371" s="1" t="s">
        <v>39</v>
      </c>
      <c r="L371" s="1" t="s">
        <v>110</v>
      </c>
      <c r="M371" s="1" t="s">
        <v>1270</v>
      </c>
      <c r="N371" s="1" t="s">
        <v>76</v>
      </c>
      <c r="O371" s="1">
        <v>9</v>
      </c>
      <c r="P371" s="3">
        <v>1169.37</v>
      </c>
      <c r="Q371" s="4">
        <v>0.15</v>
      </c>
      <c r="R371" s="4">
        <v>0.15</v>
      </c>
      <c r="S371" s="3">
        <v>8945.68</v>
      </c>
      <c r="T371" s="3">
        <v>6740.35</v>
      </c>
      <c r="U371" s="3">
        <v>2205.33</v>
      </c>
      <c r="V371" s="1" t="s">
        <v>43</v>
      </c>
      <c r="W371" s="1" t="s">
        <v>44</v>
      </c>
      <c r="X371" s="3">
        <f>IF(OR(O371="",P371="",R371=""),"",O371*P371*(1-R371))</f>
        <v>8945.68</v>
      </c>
      <c r="Y371" s="3">
        <f>IF(OR(X371="",T371=""),"",X371-T371)</f>
        <v>2205.33</v>
      </c>
      <c r="Z371" s="4">
        <f>IFERROR(Y371/X371,"")</f>
        <v>0.2465</v>
      </c>
      <c r="AA371" s="1">
        <f>IF(OR(C371="",D371=""),"",D371-C371)</f>
        <v>7</v>
      </c>
      <c r="AB371" s="1">
        <f>IF(C371="","",MONTH(C371))</f>
        <v>1</v>
      </c>
      <c r="AC371" s="1">
        <f>IF(C371="","",YEAR(C371))</f>
        <v>2025</v>
      </c>
      <c r="AD371" s="1" t="s">
        <v>45</v>
      </c>
      <c r="AE371" s="1" t="s">
        <v>46</v>
      </c>
      <c r="AF371" s="1" t="s">
        <v>47</v>
      </c>
    </row>
    <row r="372" spans="1:32" x14ac:dyDescent="0.25">
      <c r="A372" s="1">
        <v>372</v>
      </c>
      <c r="B372" s="1" t="s">
        <v>1271</v>
      </c>
      <c r="C372" s="2">
        <v>45518.77083333333</v>
      </c>
      <c r="D372" s="2">
        <v>45524.77083333333</v>
      </c>
      <c r="E372" s="1" t="s">
        <v>1272</v>
      </c>
      <c r="F372" s="1" t="s">
        <v>79</v>
      </c>
      <c r="G372" s="1" t="s">
        <v>51</v>
      </c>
      <c r="H372" s="1" t="s">
        <v>80</v>
      </c>
      <c r="I372" s="1" t="s">
        <v>37</v>
      </c>
      <c r="J372" s="1" t="s">
        <v>129</v>
      </c>
      <c r="K372" s="1" t="s">
        <v>93</v>
      </c>
      <c r="L372" s="1" t="s">
        <v>99</v>
      </c>
      <c r="M372" s="1" t="s">
        <v>1273</v>
      </c>
      <c r="N372" s="1" t="s">
        <v>64</v>
      </c>
      <c r="O372" s="1">
        <v>7</v>
      </c>
      <c r="P372" s="3">
        <v>2333.81</v>
      </c>
      <c r="Q372" s="4">
        <v>0.2</v>
      </c>
      <c r="R372" s="4">
        <v>0.2</v>
      </c>
      <c r="S372" s="3">
        <v>13069.34</v>
      </c>
      <c r="T372" s="3">
        <v>8768.59</v>
      </c>
      <c r="U372" s="3">
        <v>4300.75</v>
      </c>
      <c r="V372" s="1" t="s">
        <v>43</v>
      </c>
      <c r="W372" s="1" t="s">
        <v>44</v>
      </c>
      <c r="X372" s="3">
        <f>IF(OR(O372="",P372="",R372=""),"",O372*P372*(1-R372))</f>
        <v>13069.34</v>
      </c>
      <c r="Y372" s="3">
        <f>IF(OR(X372="",T372=""),"",X372-T372)</f>
        <v>4300.75</v>
      </c>
      <c r="Z372" s="4">
        <f>IFERROR(Y372/X372,"")</f>
        <v>0.3291</v>
      </c>
      <c r="AA372" s="1">
        <f>IF(OR(C372="",D372=""),"",D372-C372)</f>
        <v>6</v>
      </c>
      <c r="AB372" s="1">
        <f>IF(C372="","",MONTH(C372))</f>
        <v>8</v>
      </c>
      <c r="AC372" s="1">
        <f>IF(C372="","",YEAR(C372))</f>
        <v>2024</v>
      </c>
      <c r="AD372" s="1" t="s">
        <v>45</v>
      </c>
      <c r="AE372" s="1" t="s">
        <v>46</v>
      </c>
      <c r="AF372" s="1" t="s">
        <v>47</v>
      </c>
    </row>
    <row r="373" spans="1:32" s="10" customFormat="1" x14ac:dyDescent="0.25">
      <c r="A373" s="11">
        <v>373</v>
      </c>
      <c r="B373" s="11" t="s">
        <v>1274</v>
      </c>
      <c r="C373" s="12">
        <v>45312.77083333333</v>
      </c>
      <c r="D373" s="12">
        <v>45314.77083333333</v>
      </c>
      <c r="E373" s="11" t="s">
        <v>1275</v>
      </c>
      <c r="F373" s="11" t="s">
        <v>186</v>
      </c>
      <c r="G373" s="11" t="s">
        <v>114</v>
      </c>
      <c r="H373" s="11" t="s">
        <v>80</v>
      </c>
      <c r="I373" s="11" t="s">
        <v>81</v>
      </c>
      <c r="J373" s="11" t="s">
        <v>82</v>
      </c>
      <c r="K373" s="11" t="s">
        <v>39</v>
      </c>
      <c r="L373" s="11" t="s">
        <v>62</v>
      </c>
      <c r="M373" s="11" t="s">
        <v>1276</v>
      </c>
      <c r="N373" s="11" t="s">
        <v>76</v>
      </c>
      <c r="O373" s="11">
        <v>6</v>
      </c>
      <c r="P373" s="13">
        <v>1026.06</v>
      </c>
      <c r="Q373" s="14"/>
      <c r="R373" s="14">
        <v>0</v>
      </c>
      <c r="S373" s="13">
        <v>4617.27</v>
      </c>
      <c r="T373" s="13">
        <v>2981.94</v>
      </c>
      <c r="U373" s="13">
        <v>1635.33</v>
      </c>
      <c r="V373" s="11" t="s">
        <v>121</v>
      </c>
      <c r="W373" s="11" t="s">
        <v>85</v>
      </c>
      <c r="X373" s="13">
        <f>IF(OR(O373="",P373="",R373=""),"",O373*P373*(1-R373))</f>
        <v>6156.36</v>
      </c>
      <c r="Y373" s="13">
        <f>IF(OR(X373="",T373=""),"",X373-T373)</f>
        <v>3174.42</v>
      </c>
      <c r="Z373" s="14">
        <f>IFERROR(Y373/X373,"")</f>
        <v>0.5156</v>
      </c>
      <c r="AA373" s="11">
        <f>IF(OR(C373="",D373=""),"",D373-C373)</f>
        <v>2</v>
      </c>
      <c r="AB373" s="11">
        <f>IF(C373="","",MONTH(C373))</f>
        <v>1</v>
      </c>
      <c r="AC373" s="11">
        <f>IF(C373="","",YEAR(C373))</f>
        <v>2024</v>
      </c>
      <c r="AD373" s="11" t="s">
        <v>65</v>
      </c>
      <c r="AE373" s="11" t="s">
        <v>66</v>
      </c>
      <c r="AF373" s="11" t="s">
        <v>1277</v>
      </c>
    </row>
    <row r="374" spans="1:32" x14ac:dyDescent="0.25">
      <c r="A374" s="1">
        <v>374</v>
      </c>
      <c r="B374" s="1" t="s">
        <v>1278</v>
      </c>
      <c r="C374" s="2">
        <v>45884.77083333333</v>
      </c>
      <c r="D374" s="2">
        <v>45886.77083333333</v>
      </c>
      <c r="E374" s="1" t="s">
        <v>685</v>
      </c>
      <c r="F374" s="1" t="s">
        <v>294</v>
      </c>
      <c r="G374" s="1" t="s">
        <v>35</v>
      </c>
      <c r="H374" s="1" t="s">
        <v>52</v>
      </c>
      <c r="I374" s="1" t="s">
        <v>258</v>
      </c>
      <c r="J374" s="1" t="s">
        <v>259</v>
      </c>
      <c r="K374" s="1" t="s">
        <v>55</v>
      </c>
      <c r="L374" s="1" t="s">
        <v>83</v>
      </c>
      <c r="M374" s="1" t="s">
        <v>1279</v>
      </c>
      <c r="N374" s="1" t="s">
        <v>58</v>
      </c>
      <c r="O374" s="1">
        <v>5</v>
      </c>
      <c r="P374" s="3">
        <v>1530.36</v>
      </c>
      <c r="Q374" s="4">
        <v>0</v>
      </c>
      <c r="R374" s="4">
        <v>0</v>
      </c>
      <c r="S374" s="3">
        <v>7651.8</v>
      </c>
      <c r="T374" s="3">
        <v>5171.78</v>
      </c>
      <c r="U374" s="3">
        <v>2480.02</v>
      </c>
      <c r="V374" s="1" t="s">
        <v>43</v>
      </c>
      <c r="W374" s="1" t="s">
        <v>44</v>
      </c>
      <c r="X374" s="3">
        <f>IF(OR(O374="",P374="",R374=""),"",O374*P374*(1-R374))</f>
        <v>7651.8</v>
      </c>
      <c r="Y374" s="3">
        <f>IF(OR(X374="",T374=""),"",X374-T374)</f>
        <v>2480.02</v>
      </c>
      <c r="Z374" s="4">
        <f>IFERROR(Y374/X374,"")</f>
        <v>0.3241</v>
      </c>
      <c r="AA374" s="1">
        <f>IF(OR(C374="",D374=""),"",D374-C374)</f>
        <v>2</v>
      </c>
      <c r="AB374" s="1">
        <f>IF(C374="","",MONTH(C374))</f>
        <v>8</v>
      </c>
      <c r="AC374" s="1">
        <f>IF(C374="","",YEAR(C374))</f>
        <v>2025</v>
      </c>
      <c r="AD374" s="1" t="s">
        <v>45</v>
      </c>
      <c r="AE374" s="1" t="s">
        <v>46</v>
      </c>
      <c r="AF374" s="1" t="s">
        <v>47</v>
      </c>
    </row>
    <row r="375" spans="1:32" s="10" customFormat="1" x14ac:dyDescent="0.25">
      <c r="A375" s="11">
        <v>375</v>
      </c>
      <c r="B375" s="11" t="s">
        <v>1280</v>
      </c>
      <c r="C375" s="12">
        <v>45759.77083333333</v>
      </c>
      <c r="D375" s="12">
        <v>45759.77083333333</v>
      </c>
      <c r="E375" s="11" t="s">
        <v>1281</v>
      </c>
      <c r="F375" s="11" t="s">
        <v>153</v>
      </c>
      <c r="G375" s="11" t="s">
        <v>51</v>
      </c>
      <c r="H375" s="11" t="s">
        <v>36</v>
      </c>
      <c r="I375" s="11" t="s">
        <v>157</v>
      </c>
      <c r="J375" s="11" t="s">
        <v>158</v>
      </c>
      <c r="K375" s="11" t="s">
        <v>39</v>
      </c>
      <c r="L375" s="11" t="s">
        <v>145</v>
      </c>
      <c r="M375" s="11" t="s">
        <v>1282</v>
      </c>
      <c r="N375" s="11" t="s">
        <v>42</v>
      </c>
      <c r="O375" s="11">
        <v>9</v>
      </c>
      <c r="P375" s="13">
        <v>1118.68</v>
      </c>
      <c r="Q375" s="14">
        <v>0</v>
      </c>
      <c r="R375" s="14">
        <v>0</v>
      </c>
      <c r="S375" s="13">
        <v>10068.12</v>
      </c>
      <c r="T375" s="13">
        <v>8595.37</v>
      </c>
      <c r="U375" s="13">
        <v>1472.75</v>
      </c>
      <c r="V375" s="11" t="s">
        <v>43</v>
      </c>
      <c r="W375" s="11" t="s">
        <v>44</v>
      </c>
      <c r="X375" s="13">
        <f>IF(OR(O375="",P375="",R375=""),"",O375*P375*(1-R375))</f>
        <v>10068.12</v>
      </c>
      <c r="Y375" s="13">
        <f>IF(OR(X375="",T375=""),"",X375-T375)</f>
        <v>1472.75</v>
      </c>
      <c r="Z375" s="14">
        <f>IFERROR(Y375/X375,"")</f>
        <v>0.1463</v>
      </c>
      <c r="AA375" s="11">
        <f>IF(OR(C375="",D375=""),"",D375-C375)</f>
        <v>0</v>
      </c>
      <c r="AB375" s="11">
        <f>IF(C375="","",MONTH(C375))</f>
        <v>4</v>
      </c>
      <c r="AC375" s="11">
        <f>IF(C375="","",YEAR(C375))</f>
        <v>2025</v>
      </c>
      <c r="AD375" s="11" t="s">
        <v>65</v>
      </c>
      <c r="AE375" s="11" t="s">
        <v>66</v>
      </c>
      <c r="AF375" s="11" t="s">
        <v>417</v>
      </c>
    </row>
    <row r="376" spans="1:32" x14ac:dyDescent="0.25">
      <c r="A376" s="1">
        <v>376</v>
      </c>
      <c r="B376" s="1" t="s">
        <v>1283</v>
      </c>
      <c r="C376" s="2">
        <v>45714.77083333333</v>
      </c>
      <c r="D376" s="2">
        <v>45715.77083333333</v>
      </c>
      <c r="E376" s="1" t="s">
        <v>1284</v>
      </c>
      <c r="F376" s="1" t="s">
        <v>108</v>
      </c>
      <c r="G376" s="1" t="s">
        <v>51</v>
      </c>
      <c r="H376" s="1" t="s">
        <v>36</v>
      </c>
      <c r="I376" s="1" t="s">
        <v>157</v>
      </c>
      <c r="J376" s="1" t="s">
        <v>158</v>
      </c>
      <c r="K376" s="1" t="s">
        <v>39</v>
      </c>
      <c r="L376" s="1" t="s">
        <v>110</v>
      </c>
      <c r="M376" s="1" t="s">
        <v>1285</v>
      </c>
      <c r="N376" s="1" t="s">
        <v>76</v>
      </c>
      <c r="O376" s="1">
        <v>6</v>
      </c>
      <c r="P376" s="3">
        <v>2393.25</v>
      </c>
      <c r="Q376" s="4">
        <v>0</v>
      </c>
      <c r="R376" s="4">
        <v>0</v>
      </c>
      <c r="S376" s="3">
        <v>14359.5</v>
      </c>
      <c r="T376" s="3">
        <v>8117.71</v>
      </c>
      <c r="U376" s="3">
        <v>6241.79</v>
      </c>
      <c r="V376" s="1" t="s">
        <v>43</v>
      </c>
      <c r="W376" s="1" t="s">
        <v>44</v>
      </c>
      <c r="X376" s="3">
        <f>IF(OR(O376="",P376="",R376=""),"",O376*P376*(1-R376))</f>
        <v>14359.5</v>
      </c>
      <c r="Y376" s="3">
        <f>IF(OR(X376="",T376=""),"",X376-T376)</f>
        <v>6241.79</v>
      </c>
      <c r="Z376" s="4">
        <f>IFERROR(Y376/X376,"")</f>
        <v>0.4347</v>
      </c>
      <c r="AA376" s="1">
        <f>IF(OR(C376="",D376=""),"",D376-C376)</f>
        <v>1</v>
      </c>
      <c r="AB376" s="1">
        <f>IF(C376="","",MONTH(C376))</f>
        <v>2</v>
      </c>
      <c r="AC376" s="1">
        <f>IF(C376="","",YEAR(C376))</f>
        <v>2025</v>
      </c>
      <c r="AD376" s="1" t="s">
        <v>45</v>
      </c>
      <c r="AE376" s="1" t="s">
        <v>46</v>
      </c>
      <c r="AF376" s="1" t="s">
        <v>47</v>
      </c>
    </row>
    <row r="377" spans="1:32" x14ac:dyDescent="0.25">
      <c r="A377" s="1">
        <v>377</v>
      </c>
      <c r="B377" s="1" t="s">
        <v>1286</v>
      </c>
      <c r="C377" s="2">
        <v>45656.77083333333</v>
      </c>
      <c r="D377" s="2">
        <v>45660.77083333333</v>
      </c>
      <c r="E377" s="1" t="s">
        <v>1287</v>
      </c>
      <c r="F377" s="1" t="s">
        <v>90</v>
      </c>
      <c r="G377" s="1" t="s">
        <v>35</v>
      </c>
      <c r="H377" s="1" t="s">
        <v>36</v>
      </c>
      <c r="I377" s="1" t="s">
        <v>384</v>
      </c>
      <c r="J377" s="1" t="s">
        <v>385</v>
      </c>
      <c r="K377" s="1" t="s">
        <v>55</v>
      </c>
      <c r="L377" s="1" t="s">
        <v>83</v>
      </c>
      <c r="M377" s="1" t="s">
        <v>1288</v>
      </c>
      <c r="N377" s="1" t="s">
        <v>58</v>
      </c>
      <c r="O377" s="1">
        <v>3</v>
      </c>
      <c r="P377" s="3">
        <v>1166.61</v>
      </c>
      <c r="Q377" s="4">
        <v>0.25</v>
      </c>
      <c r="R377" s="4">
        <v>0.25</v>
      </c>
      <c r="S377" s="3">
        <v>2624.87</v>
      </c>
      <c r="T377" s="3">
        <v>2253.88</v>
      </c>
      <c r="U377" s="3">
        <v>370.99</v>
      </c>
      <c r="V377" s="1" t="s">
        <v>43</v>
      </c>
      <c r="W377" s="1" t="s">
        <v>44</v>
      </c>
      <c r="X377" s="3">
        <f>IF(OR(O377="",P377="",R377=""),"",O377*P377*(1-R377))</f>
        <v>2624.87</v>
      </c>
      <c r="Y377" s="3">
        <f>IF(OR(X377="",T377=""),"",X377-T377)</f>
        <v>370.99</v>
      </c>
      <c r="Z377" s="4">
        <f>IFERROR(Y377/X377,"")</f>
        <v>0.1413</v>
      </c>
      <c r="AA377" s="1">
        <f>IF(OR(C377="",D377=""),"",D377-C377)</f>
        <v>4</v>
      </c>
      <c r="AB377" s="1">
        <f>IF(C377="","",MONTH(C377))</f>
        <v>12</v>
      </c>
      <c r="AC377" s="1">
        <f>IF(C377="","",YEAR(C377))</f>
        <v>2024</v>
      </c>
      <c r="AD377" s="1" t="s">
        <v>45</v>
      </c>
      <c r="AE377" s="1" t="s">
        <v>46</v>
      </c>
      <c r="AF377" s="1" t="s">
        <v>47</v>
      </c>
    </row>
    <row r="378" spans="1:32" x14ac:dyDescent="0.25">
      <c r="A378" s="1">
        <v>378</v>
      </c>
      <c r="B378" s="1" t="s">
        <v>1289</v>
      </c>
      <c r="C378" s="2">
        <v>45654.77083333333</v>
      </c>
      <c r="D378" s="2">
        <v>45656.77083333333</v>
      </c>
      <c r="E378" s="1" t="s">
        <v>1290</v>
      </c>
      <c r="F378" s="1" t="s">
        <v>61</v>
      </c>
      <c r="G378" s="1" t="s">
        <v>51</v>
      </c>
      <c r="H378" s="1" t="s">
        <v>52</v>
      </c>
      <c r="I378" s="1" t="s">
        <v>168</v>
      </c>
      <c r="J378" s="1" t="s">
        <v>169</v>
      </c>
      <c r="K378" s="1" t="s">
        <v>55</v>
      </c>
      <c r="L378" s="1" t="s">
        <v>83</v>
      </c>
      <c r="M378" s="1" t="s">
        <v>1291</v>
      </c>
      <c r="N378" s="1" t="s">
        <v>64</v>
      </c>
      <c r="O378" s="1">
        <v>6</v>
      </c>
      <c r="P378" s="3">
        <v>1844.78</v>
      </c>
      <c r="Q378" s="4">
        <v>0.2</v>
      </c>
      <c r="R378" s="4">
        <v>0.2</v>
      </c>
      <c r="S378" s="3">
        <v>8854.94</v>
      </c>
      <c r="T378" s="3">
        <v>7433.95</v>
      </c>
      <c r="U378" s="3">
        <v>1420.99</v>
      </c>
      <c r="V378" s="1" t="s">
        <v>43</v>
      </c>
      <c r="W378" s="1" t="s">
        <v>44</v>
      </c>
      <c r="X378" s="3">
        <f>IF(OR(O378="",P378="",R378=""),"",O378*P378*(1-R378))</f>
        <v>8854.94</v>
      </c>
      <c r="Y378" s="3">
        <f>IF(OR(X378="",T378=""),"",X378-T378)</f>
        <v>1420.99</v>
      </c>
      <c r="Z378" s="4">
        <f>IFERROR(Y378/X378,"")</f>
        <v>0.1605</v>
      </c>
      <c r="AA378" s="1">
        <f>IF(OR(C378="",D378=""),"",D378-C378)</f>
        <v>2</v>
      </c>
      <c r="AB378" s="1">
        <f>IF(C378="","",MONTH(C378))</f>
        <v>12</v>
      </c>
      <c r="AC378" s="1">
        <f>IF(C378="","",YEAR(C378))</f>
        <v>2024</v>
      </c>
      <c r="AD378" s="1" t="s">
        <v>45</v>
      </c>
      <c r="AE378" s="1" t="s">
        <v>46</v>
      </c>
      <c r="AF378" s="1" t="s">
        <v>47</v>
      </c>
    </row>
    <row r="379" spans="1:32" x14ac:dyDescent="0.25">
      <c r="A379" s="1">
        <v>379</v>
      </c>
      <c r="B379" s="1" t="s">
        <v>1292</v>
      </c>
      <c r="C379" s="2">
        <v>45800.77083333333</v>
      </c>
      <c r="D379" s="2">
        <v>45806.77083333333</v>
      </c>
      <c r="E379" s="1" t="s">
        <v>1293</v>
      </c>
      <c r="F379" s="1" t="s">
        <v>294</v>
      </c>
      <c r="G379" s="1" t="s">
        <v>51</v>
      </c>
      <c r="H379" s="1" t="s">
        <v>52</v>
      </c>
      <c r="I379" s="1" t="s">
        <v>53</v>
      </c>
      <c r="J379" s="1" t="s">
        <v>54</v>
      </c>
      <c r="K379" s="1" t="s">
        <v>39</v>
      </c>
      <c r="L379" s="1" t="s">
        <v>145</v>
      </c>
      <c r="M379" s="1" t="s">
        <v>1294</v>
      </c>
      <c r="N379" s="1" t="s">
        <v>58</v>
      </c>
      <c r="O379" s="1">
        <v>1</v>
      </c>
      <c r="P379" s="3">
        <v>2564.74</v>
      </c>
      <c r="Q379" s="4">
        <v>0</v>
      </c>
      <c r="R379" s="4">
        <v>0</v>
      </c>
      <c r="S379" s="3">
        <v>2564.74</v>
      </c>
      <c r="T379" s="3">
        <v>1754.58</v>
      </c>
      <c r="U379" s="3">
        <v>810.16</v>
      </c>
      <c r="V379" s="1" t="s">
        <v>43</v>
      </c>
      <c r="W379" s="1" t="s">
        <v>44</v>
      </c>
      <c r="X379" s="3">
        <f>IF(OR(O379="",P379="",R379=""),"",O379*P379*(1-R379))</f>
        <v>2564.74</v>
      </c>
      <c r="Y379" s="3">
        <f>IF(OR(X379="",T379=""),"",X379-T379)</f>
        <v>810.16</v>
      </c>
      <c r="Z379" s="4">
        <f>IFERROR(Y379/X379,"")</f>
        <v>0.3159</v>
      </c>
      <c r="AA379" s="1">
        <f>IF(OR(C379="",D379=""),"",D379-C379)</f>
        <v>6</v>
      </c>
      <c r="AB379" s="1">
        <f>IF(C379="","",MONTH(C379))</f>
        <v>5</v>
      </c>
      <c r="AC379" s="1">
        <f>IF(C379="","",YEAR(C379))</f>
        <v>2025</v>
      </c>
      <c r="AD379" s="1" t="s">
        <v>45</v>
      </c>
      <c r="AE379" s="1" t="s">
        <v>46</v>
      </c>
      <c r="AF379" s="1" t="s">
        <v>47</v>
      </c>
    </row>
    <row r="380" spans="1:32" x14ac:dyDescent="0.25">
      <c r="A380" s="1">
        <v>380</v>
      </c>
      <c r="B380" s="1" t="s">
        <v>1295</v>
      </c>
      <c r="C380" s="2">
        <v>45798.77083333333</v>
      </c>
      <c r="D380" s="2">
        <v>45798.77083333333</v>
      </c>
      <c r="E380" s="1" t="s">
        <v>1296</v>
      </c>
      <c r="F380" s="1" t="s">
        <v>50</v>
      </c>
      <c r="G380" s="1" t="s">
        <v>35</v>
      </c>
      <c r="H380" s="1" t="s">
        <v>80</v>
      </c>
      <c r="I380" s="1" t="s">
        <v>216</v>
      </c>
      <c r="J380" s="1" t="s">
        <v>217</v>
      </c>
      <c r="K380" s="1" t="s">
        <v>93</v>
      </c>
      <c r="L380" s="1" t="s">
        <v>94</v>
      </c>
      <c r="M380" s="1" t="s">
        <v>1297</v>
      </c>
      <c r="N380" s="1" t="s">
        <v>76</v>
      </c>
      <c r="O380" s="1">
        <v>2</v>
      </c>
      <c r="P380" s="3">
        <v>3910.61</v>
      </c>
      <c r="Q380" s="4">
        <v>0</v>
      </c>
      <c r="R380" s="4">
        <v>0</v>
      </c>
      <c r="S380" s="3">
        <v>7821.22</v>
      </c>
      <c r="T380" s="3">
        <v>4994.46</v>
      </c>
      <c r="U380" s="3">
        <v>2826.76</v>
      </c>
      <c r="V380" s="1" t="s">
        <v>43</v>
      </c>
      <c r="W380" s="1" t="s">
        <v>44</v>
      </c>
      <c r="X380" s="3">
        <f>IF(OR(O380="",P380="",R380=""),"",O380*P380*(1-R380))</f>
        <v>7821.22</v>
      </c>
      <c r="Y380" s="3">
        <f>IF(OR(X380="",T380=""),"",X380-T380)</f>
        <v>2826.76</v>
      </c>
      <c r="Z380" s="4">
        <f>IFERROR(Y380/X380,"")</f>
        <v>0.3614</v>
      </c>
      <c r="AA380" s="1">
        <f>IF(OR(C380="",D380=""),"",D380-C380)</f>
        <v>0</v>
      </c>
      <c r="AB380" s="1">
        <f>IF(C380="","",MONTH(C380))</f>
        <v>5</v>
      </c>
      <c r="AC380" s="1">
        <f>IF(C380="","",YEAR(C380))</f>
        <v>2025</v>
      </c>
      <c r="AD380" s="1" t="s">
        <v>45</v>
      </c>
      <c r="AE380" s="1" t="s">
        <v>46</v>
      </c>
      <c r="AF380" s="1" t="s">
        <v>47</v>
      </c>
    </row>
    <row r="381" spans="1:32" s="15" customFormat="1" x14ac:dyDescent="0.25">
      <c r="A381" s="16">
        <v>381</v>
      </c>
      <c r="B381" s="16" t="s">
        <v>1298</v>
      </c>
      <c r="C381" s="17">
        <v>45553.77083333333</v>
      </c>
      <c r="D381" s="17">
        <v>45557.77083333333</v>
      </c>
      <c r="E381" s="16" t="s">
        <v>1299</v>
      </c>
      <c r="F381" s="16" t="s">
        <v>50</v>
      </c>
      <c r="G381" s="16" t="s">
        <v>51</v>
      </c>
      <c r="H381" s="16" t="s">
        <v>71</v>
      </c>
      <c r="I381" s="16" t="s">
        <v>211</v>
      </c>
      <c r="J381" s="16" t="s">
        <v>212</v>
      </c>
      <c r="K381" s="16" t="s">
        <v>39</v>
      </c>
      <c r="L381" s="16" t="s">
        <v>40</v>
      </c>
      <c r="M381" s="16" t="s">
        <v>1300</v>
      </c>
      <c r="N381" s="16" t="s">
        <v>76</v>
      </c>
      <c r="O381" s="16">
        <v>7</v>
      </c>
      <c r="P381" s="18">
        <v>1136.68</v>
      </c>
      <c r="Q381" s="19"/>
      <c r="R381" s="19">
        <v>0</v>
      </c>
      <c r="S381" s="18">
        <v>7956.76</v>
      </c>
      <c r="T381" s="18">
        <v>4799.54</v>
      </c>
      <c r="U381" s="18">
        <v>3157.22</v>
      </c>
      <c r="V381" s="16" t="s">
        <v>43</v>
      </c>
      <c r="W381" s="16" t="s">
        <v>44</v>
      </c>
      <c r="X381" s="18">
        <f>IF(OR(O381="",P381="",R381=""),"",O381*P381*(1-R381))</f>
        <v>7956.76</v>
      </c>
      <c r="Y381" s="18">
        <f>IF(OR(X381="",T381=""),"",X381-T381)</f>
        <v>3157.22</v>
      </c>
      <c r="Z381" s="19">
        <f>IFERROR(Y381/X381,"")</f>
        <v>0.3968</v>
      </c>
      <c r="AA381" s="16">
        <f>IF(OR(C381="",D381=""),"",D381-C381)</f>
        <v>4</v>
      </c>
      <c r="AB381" s="16">
        <f>IF(C381="","",MONTH(C381))</f>
        <v>9</v>
      </c>
      <c r="AC381" s="16">
        <f>IF(C381="","",YEAR(C381))</f>
        <v>2024</v>
      </c>
      <c r="AD381" s="16" t="s">
        <v>86</v>
      </c>
      <c r="AE381" s="16" t="s">
        <v>46</v>
      </c>
      <c r="AF381" s="16" t="s">
        <v>813</v>
      </c>
    </row>
    <row r="382" spans="1:32" s="15" customFormat="1" x14ac:dyDescent="0.25">
      <c r="A382" s="16">
        <v>382</v>
      </c>
      <c r="B382" s="16" t="s">
        <v>1301</v>
      </c>
      <c r="C382" s="17">
        <v>45388.77083333333</v>
      </c>
      <c r="D382" s="17">
        <v>45395.77083333333</v>
      </c>
      <c r="E382" s="16" t="s">
        <v>1302</v>
      </c>
      <c r="F382" s="16" t="s">
        <v>90</v>
      </c>
      <c r="G382" s="16" t="s">
        <v>35</v>
      </c>
      <c r="H382" s="16" t="s">
        <v>80</v>
      </c>
      <c r="I382" s="16" t="s">
        <v>81</v>
      </c>
      <c r="J382" s="16" t="s">
        <v>82</v>
      </c>
      <c r="K382" s="16" t="s">
        <v>55</v>
      </c>
      <c r="L382" s="16" t="s">
        <v>182</v>
      </c>
      <c r="M382" s="16" t="s">
        <v>1303</v>
      </c>
      <c r="N382" s="16" t="s">
        <v>58</v>
      </c>
      <c r="O382" s="16">
        <v>5</v>
      </c>
      <c r="P382" s="18">
        <v>2235.85</v>
      </c>
      <c r="Q382" s="19">
        <v>0.25</v>
      </c>
      <c r="R382" s="19">
        <v>0.25</v>
      </c>
      <c r="S382" s="18">
        <v>8384.44</v>
      </c>
      <c r="T382" s="18">
        <v>4765.96</v>
      </c>
      <c r="U382" s="18">
        <v>3618.48</v>
      </c>
      <c r="V382" s="16" t="s">
        <v>43</v>
      </c>
      <c r="W382" s="16" t="s">
        <v>122</v>
      </c>
      <c r="X382" s="18">
        <f>IF(OR(O382="",P382="",R382=""),"",O382*P382*(1-R382))</f>
        <v>8384.44</v>
      </c>
      <c r="Y382" s="18">
        <f>IF(OR(X382="",T382=""),"",X382-T382)</f>
        <v>3618.48</v>
      </c>
      <c r="Z382" s="19">
        <f>IFERROR(Y382/X382,"")</f>
        <v>0.4316</v>
      </c>
      <c r="AA382" s="16">
        <f>IF(OR(C382="",D382=""),"",D382-C382)</f>
        <v>7</v>
      </c>
      <c r="AB382" s="16">
        <f>IF(C382="","",MONTH(C382))</f>
        <v>4</v>
      </c>
      <c r="AC382" s="16">
        <f>IF(C382="","",YEAR(C382))</f>
        <v>2024</v>
      </c>
      <c r="AD382" s="16" t="s">
        <v>86</v>
      </c>
      <c r="AE382" s="16" t="s">
        <v>66</v>
      </c>
      <c r="AF382" s="16" t="s">
        <v>198</v>
      </c>
    </row>
    <row r="383" spans="1:32" s="15" customFormat="1" x14ac:dyDescent="0.25">
      <c r="A383" s="16">
        <v>383</v>
      </c>
      <c r="B383" s="16" t="s">
        <v>1304</v>
      </c>
      <c r="C383" s="17">
        <v>45918.77083333333</v>
      </c>
      <c r="D383" s="17">
        <v>45922.77083333333</v>
      </c>
      <c r="E383" s="16" t="s">
        <v>1305</v>
      </c>
      <c r="F383" s="16" t="s">
        <v>70</v>
      </c>
      <c r="G383" s="16" t="s">
        <v>114</v>
      </c>
      <c r="H383" s="16" t="s">
        <v>36</v>
      </c>
      <c r="I383" s="16" t="s">
        <v>384</v>
      </c>
      <c r="J383" s="16" t="s">
        <v>385</v>
      </c>
      <c r="K383" s="16" t="s">
        <v>39</v>
      </c>
      <c r="L383" s="16" t="s">
        <v>176</v>
      </c>
      <c r="M383" s="16" t="s">
        <v>1306</v>
      </c>
      <c r="N383" s="16" t="s">
        <v>76</v>
      </c>
      <c r="O383" s="16">
        <v>4</v>
      </c>
      <c r="P383" s="18">
        <v>4387.15</v>
      </c>
      <c r="Q383" s="19">
        <v>0.05</v>
      </c>
      <c r="R383" s="19">
        <v>0.05</v>
      </c>
      <c r="S383" s="18">
        <v>16671.17</v>
      </c>
      <c r="T383" s="18">
        <v>10833.19</v>
      </c>
      <c r="U383" s="18">
        <v>5837.98</v>
      </c>
      <c r="V383" s="16" t="s">
        <v>178</v>
      </c>
      <c r="W383" s="16" t="s">
        <v>85</v>
      </c>
      <c r="X383" s="18">
        <f>IF(OR(O383="",P383="",R383=""),"",O383*P383*(1-R383))</f>
        <v>16671.17</v>
      </c>
      <c r="Y383" s="18">
        <f>IF(OR(X383="",T383=""),"",X383-T383)</f>
        <v>5837.98</v>
      </c>
      <c r="Z383" s="19">
        <f>IFERROR(Y383/X383,"")</f>
        <v>0.3502</v>
      </c>
      <c r="AA383" s="16">
        <f>IF(OR(C383="",D383=""),"",D383-C383)</f>
        <v>4</v>
      </c>
      <c r="AB383" s="16">
        <f>IF(C383="","",MONTH(C383))</f>
        <v>9</v>
      </c>
      <c r="AC383" s="16">
        <f>IF(C383="","",YEAR(C383))</f>
        <v>2025</v>
      </c>
      <c r="AD383" s="16" t="s">
        <v>86</v>
      </c>
      <c r="AE383" s="16" t="s">
        <v>66</v>
      </c>
      <c r="AF383" s="16" t="s">
        <v>296</v>
      </c>
    </row>
    <row r="384" spans="1:32" x14ac:dyDescent="0.25">
      <c r="A384" s="1">
        <v>384</v>
      </c>
      <c r="B384" s="1" t="s">
        <v>1307</v>
      </c>
      <c r="C384" s="2">
        <v>45719.77083333333</v>
      </c>
      <c r="D384" s="2">
        <v>45723.77083333333</v>
      </c>
      <c r="E384" s="1" t="s">
        <v>181</v>
      </c>
      <c r="F384" s="1" t="s">
        <v>70</v>
      </c>
      <c r="G384" s="1" t="s">
        <v>51</v>
      </c>
      <c r="H384" s="1" t="s">
        <v>52</v>
      </c>
      <c r="I384" s="1" t="s">
        <v>168</v>
      </c>
      <c r="J384" s="1" t="s">
        <v>169</v>
      </c>
      <c r="K384" s="1" t="s">
        <v>93</v>
      </c>
      <c r="L384" s="1" t="s">
        <v>196</v>
      </c>
      <c r="M384" s="1" t="s">
        <v>1308</v>
      </c>
      <c r="N384" s="1" t="s">
        <v>64</v>
      </c>
      <c r="O384" s="1">
        <v>3</v>
      </c>
      <c r="P384" s="3">
        <v>4361.85</v>
      </c>
      <c r="Q384" s="4">
        <v>0.2</v>
      </c>
      <c r="R384" s="4">
        <v>0.2</v>
      </c>
      <c r="S384" s="3">
        <v>10468.44</v>
      </c>
      <c r="T384" s="3">
        <v>8399.87</v>
      </c>
      <c r="U384" s="3">
        <v>2068.57</v>
      </c>
      <c r="V384" s="1" t="s">
        <v>43</v>
      </c>
      <c r="W384" s="1" t="s">
        <v>44</v>
      </c>
      <c r="X384" s="3">
        <f>IF(OR(O384="",P384="",R384=""),"",O384*P384*(1-R384))</f>
        <v>10468.44</v>
      </c>
      <c r="Y384" s="3">
        <f>IF(OR(X384="",T384=""),"",X384-T384)</f>
        <v>2068.57</v>
      </c>
      <c r="Z384" s="4">
        <f>IFERROR(Y384/X384,"")</f>
        <v>0.1976</v>
      </c>
      <c r="AA384" s="1">
        <f>IF(OR(C384="",D384=""),"",D384-C384)</f>
        <v>4</v>
      </c>
      <c r="AB384" s="1">
        <f>IF(C384="","",MONTH(C384))</f>
        <v>3</v>
      </c>
      <c r="AC384" s="1">
        <f>IF(C384="","",YEAR(C384))</f>
        <v>2025</v>
      </c>
      <c r="AD384" s="1" t="s">
        <v>45</v>
      </c>
      <c r="AE384" s="1" t="s">
        <v>46</v>
      </c>
      <c r="AF384" s="1" t="s">
        <v>47</v>
      </c>
    </row>
    <row r="385" spans="1:32" s="15" customFormat="1" x14ac:dyDescent="0.25">
      <c r="A385" s="16">
        <v>385</v>
      </c>
      <c r="B385" s="16" t="s">
        <v>1309</v>
      </c>
      <c r="C385" s="17">
        <v>45835.77083333333</v>
      </c>
      <c r="D385" s="17">
        <v>45842.77083333333</v>
      </c>
      <c r="E385" s="16" t="s">
        <v>1310</v>
      </c>
      <c r="F385" s="16" t="s">
        <v>90</v>
      </c>
      <c r="G385" s="16" t="s">
        <v>109</v>
      </c>
      <c r="H385" s="16" t="s">
        <v>52</v>
      </c>
      <c r="I385" s="16" t="s">
        <v>118</v>
      </c>
      <c r="J385" s="16" t="s">
        <v>119</v>
      </c>
      <c r="K385" s="16" t="s">
        <v>39</v>
      </c>
      <c r="L385" s="16" t="s">
        <v>62</v>
      </c>
      <c r="M385" s="16" t="s">
        <v>1311</v>
      </c>
      <c r="N385" s="16" t="s">
        <v>64</v>
      </c>
      <c r="O385" s="16">
        <v>2</v>
      </c>
      <c r="P385" s="18">
        <v>2242.75</v>
      </c>
      <c r="Q385" s="19">
        <v>0</v>
      </c>
      <c r="R385" s="19">
        <v>0</v>
      </c>
      <c r="S385" s="18">
        <v>4485.5</v>
      </c>
      <c r="T385" s="18">
        <v>3131.86</v>
      </c>
      <c r="U385" s="18">
        <v>1353.64</v>
      </c>
      <c r="V385" s="16" t="s">
        <v>43</v>
      </c>
      <c r="W385" s="16" t="s">
        <v>85</v>
      </c>
      <c r="X385" s="18">
        <f>IF(OR(O385="",P385="",R385=""),"",O385*P385*(1-R385))</f>
        <v>4485.5</v>
      </c>
      <c r="Y385" s="18">
        <f>IF(OR(X385="",T385=""),"",X385-T385)</f>
        <v>1353.64</v>
      </c>
      <c r="Z385" s="19">
        <f>IFERROR(Y385/X385,"")</f>
        <v>0.3018</v>
      </c>
      <c r="AA385" s="16">
        <f>IF(OR(C385="",D385=""),"",D385-C385)</f>
        <v>7</v>
      </c>
      <c r="AB385" s="16">
        <f>IF(C385="","",MONTH(C385))</f>
        <v>6</v>
      </c>
      <c r="AC385" s="16">
        <f>IF(C385="","",YEAR(C385))</f>
        <v>2025</v>
      </c>
      <c r="AD385" s="16" t="s">
        <v>86</v>
      </c>
      <c r="AE385" s="16" t="s">
        <v>66</v>
      </c>
      <c r="AF385" s="16" t="s">
        <v>87</v>
      </c>
    </row>
    <row r="386" spans="1:32" s="15" customFormat="1" x14ac:dyDescent="0.25">
      <c r="A386" s="16">
        <v>386</v>
      </c>
      <c r="B386" s="16" t="s">
        <v>1312</v>
      </c>
      <c r="C386" s="17">
        <v>45365.77083333333</v>
      </c>
      <c r="D386" s="17">
        <v>45370.77083333333</v>
      </c>
      <c r="E386" s="16" t="s">
        <v>1313</v>
      </c>
      <c r="F386" s="16" t="s">
        <v>163</v>
      </c>
      <c r="G386" s="16" t="s">
        <v>35</v>
      </c>
      <c r="H386" s="16" t="s">
        <v>52</v>
      </c>
      <c r="I386" s="16" t="s">
        <v>258</v>
      </c>
      <c r="J386" s="16" t="s">
        <v>259</v>
      </c>
      <c r="K386" s="16" t="s">
        <v>93</v>
      </c>
      <c r="L386" s="16" t="s">
        <v>99</v>
      </c>
      <c r="M386" s="16" t="s">
        <v>1314</v>
      </c>
      <c r="N386" s="16" t="s">
        <v>76</v>
      </c>
      <c r="O386" s="16">
        <v>2</v>
      </c>
      <c r="P386" s="18">
        <v>1881.4</v>
      </c>
      <c r="Q386" s="19">
        <v>0.25</v>
      </c>
      <c r="R386" s="19">
        <v>0.25</v>
      </c>
      <c r="S386" s="18">
        <v>2822.1</v>
      </c>
      <c r="T386" s="18">
        <v>1624.57</v>
      </c>
      <c r="U386" s="18">
        <v>1197.53</v>
      </c>
      <c r="V386" s="16" t="s">
        <v>43</v>
      </c>
      <c r="W386" s="16" t="s">
        <v>122</v>
      </c>
      <c r="X386" s="18">
        <f>IF(OR(O386="",P386="",R386=""),"",O386*P386*(1-R386))</f>
        <v>2822.1</v>
      </c>
      <c r="Y386" s="18">
        <f>IF(OR(X386="",T386=""),"",X386-T386)</f>
        <v>1197.53</v>
      </c>
      <c r="Z386" s="19">
        <f>IFERROR(Y386/X386,"")</f>
        <v>0.4243</v>
      </c>
      <c r="AA386" s="16">
        <f>IF(OR(C386="",D386=""),"",D386-C386)</f>
        <v>5</v>
      </c>
      <c r="AB386" s="16">
        <f>IF(C386="","",MONTH(C386))</f>
        <v>3</v>
      </c>
      <c r="AC386" s="16">
        <f>IF(C386="","",YEAR(C386))</f>
        <v>2024</v>
      </c>
      <c r="AD386" s="16" t="s">
        <v>86</v>
      </c>
      <c r="AE386" s="16" t="s">
        <v>66</v>
      </c>
      <c r="AF386" s="16" t="s">
        <v>198</v>
      </c>
    </row>
    <row r="387" spans="1:32" x14ac:dyDescent="0.25">
      <c r="A387" s="1">
        <v>387</v>
      </c>
      <c r="B387" s="1" t="s">
        <v>1315</v>
      </c>
      <c r="C387" s="2">
        <v>45831.77083333333</v>
      </c>
      <c r="D387" s="2">
        <v>45837.77083333333</v>
      </c>
      <c r="E387" s="1" t="s">
        <v>1316</v>
      </c>
      <c r="F387" s="1" t="s">
        <v>70</v>
      </c>
      <c r="G387" s="1" t="s">
        <v>35</v>
      </c>
      <c r="H387" s="1" t="s">
        <v>36</v>
      </c>
      <c r="I387" s="1" t="s">
        <v>266</v>
      </c>
      <c r="J387" s="1" t="s">
        <v>267</v>
      </c>
      <c r="K387" s="1" t="s">
        <v>39</v>
      </c>
      <c r="L387" s="1" t="s">
        <v>110</v>
      </c>
      <c r="M387" s="1" t="s">
        <v>1317</v>
      </c>
      <c r="N387" s="1" t="s">
        <v>76</v>
      </c>
      <c r="O387" s="1">
        <v>6</v>
      </c>
      <c r="P387" s="3">
        <v>365.76</v>
      </c>
      <c r="Q387" s="4">
        <v>0.1</v>
      </c>
      <c r="R387" s="4">
        <v>0.1</v>
      </c>
      <c r="S387" s="3">
        <v>1975.1</v>
      </c>
      <c r="T387" s="3">
        <v>1115.35</v>
      </c>
      <c r="U387" s="3">
        <v>859.75</v>
      </c>
      <c r="V387" s="1" t="s">
        <v>43</v>
      </c>
      <c r="W387" s="1" t="s">
        <v>44</v>
      </c>
      <c r="X387" s="3">
        <f>IF(OR(O387="",P387="",R387=""),"",O387*P387*(1-R387))</f>
        <v>1975.1</v>
      </c>
      <c r="Y387" s="3">
        <f>IF(OR(X387="",T387=""),"",X387-T387)</f>
        <v>859.75</v>
      </c>
      <c r="Z387" s="4">
        <f>IFERROR(Y387/X387,"")</f>
        <v>0.4353</v>
      </c>
      <c r="AA387" s="1">
        <f>IF(OR(C387="",D387=""),"",D387-C387)</f>
        <v>6</v>
      </c>
      <c r="AB387" s="1">
        <f>IF(C387="","",MONTH(C387))</f>
        <v>6</v>
      </c>
      <c r="AC387" s="1">
        <f>IF(C387="","",YEAR(C387))</f>
        <v>2025</v>
      </c>
      <c r="AD387" s="1" t="s">
        <v>45</v>
      </c>
      <c r="AE387" s="1" t="s">
        <v>46</v>
      </c>
      <c r="AF387" s="1" t="s">
        <v>47</v>
      </c>
    </row>
    <row r="388" spans="1:32" x14ac:dyDescent="0.25">
      <c r="A388" s="1">
        <v>388</v>
      </c>
      <c r="B388" s="1" t="s">
        <v>1318</v>
      </c>
      <c r="C388" s="2">
        <v>45699.77083333333</v>
      </c>
      <c r="D388" s="2">
        <v>45701.77083333333</v>
      </c>
      <c r="E388" s="1" t="s">
        <v>1319</v>
      </c>
      <c r="F388" s="1" t="s">
        <v>153</v>
      </c>
      <c r="G388" s="1" t="s">
        <v>35</v>
      </c>
      <c r="H388" s="1" t="s">
        <v>80</v>
      </c>
      <c r="I388" s="1" t="s">
        <v>81</v>
      </c>
      <c r="J388" s="1" t="s">
        <v>82</v>
      </c>
      <c r="K388" s="1" t="s">
        <v>55</v>
      </c>
      <c r="L388" s="1" t="s">
        <v>74</v>
      </c>
      <c r="M388" s="1" t="s">
        <v>1320</v>
      </c>
      <c r="N388" s="1" t="s">
        <v>42</v>
      </c>
      <c r="O388" s="1">
        <v>8</v>
      </c>
      <c r="P388" s="3">
        <v>2786.66</v>
      </c>
      <c r="Q388" s="4">
        <v>0.1</v>
      </c>
      <c r="R388" s="4">
        <v>0.1</v>
      </c>
      <c r="S388" s="3">
        <v>20063.95</v>
      </c>
      <c r="T388" s="3">
        <v>14363.38</v>
      </c>
      <c r="U388" s="3">
        <v>5700.57</v>
      </c>
      <c r="V388" s="1" t="s">
        <v>43</v>
      </c>
      <c r="W388" s="1" t="s">
        <v>44</v>
      </c>
      <c r="X388" s="3">
        <f>IF(OR(O388="",P388="",R388=""),"",O388*P388*(1-R388))</f>
        <v>20063.95</v>
      </c>
      <c r="Y388" s="3">
        <f>IF(OR(X388="",T388=""),"",X388-T388)</f>
        <v>5700.57</v>
      </c>
      <c r="Z388" s="4">
        <f>IFERROR(Y388/X388,"")</f>
        <v>0.2841</v>
      </c>
      <c r="AA388" s="1">
        <f>IF(OR(C388="",D388=""),"",D388-C388)</f>
        <v>2</v>
      </c>
      <c r="AB388" s="1">
        <f>IF(C388="","",MONTH(C388))</f>
        <v>2</v>
      </c>
      <c r="AC388" s="1">
        <f>IF(C388="","",YEAR(C388))</f>
        <v>2025</v>
      </c>
      <c r="AD388" s="1" t="s">
        <v>45</v>
      </c>
      <c r="AE388" s="1" t="s">
        <v>46</v>
      </c>
      <c r="AF388" s="1" t="s">
        <v>47</v>
      </c>
    </row>
    <row r="389" spans="1:32" s="15" customFormat="1" x14ac:dyDescent="0.25">
      <c r="A389" s="16">
        <v>389</v>
      </c>
      <c r="B389" s="16" t="s">
        <v>1321</v>
      </c>
      <c r="C389" s="17">
        <v>45878.77083333333</v>
      </c>
      <c r="D389" s="17">
        <v>45881.77083333333</v>
      </c>
      <c r="E389" s="16" t="s">
        <v>1322</v>
      </c>
      <c r="F389" s="16" t="s">
        <v>135</v>
      </c>
      <c r="G389" s="16" t="s">
        <v>51</v>
      </c>
      <c r="H389" s="16" t="s">
        <v>80</v>
      </c>
      <c r="I389" s="16" t="s">
        <v>91</v>
      </c>
      <c r="J389" s="16" t="s">
        <v>92</v>
      </c>
      <c r="K389" s="16" t="s">
        <v>55</v>
      </c>
      <c r="L389" s="16" t="s">
        <v>83</v>
      </c>
      <c r="M389" s="16" t="s">
        <v>1323</v>
      </c>
      <c r="N389" s="16" t="s">
        <v>76</v>
      </c>
      <c r="O389" s="16">
        <v>5</v>
      </c>
      <c r="P389" s="18">
        <v>352.86</v>
      </c>
      <c r="Q389" s="19">
        <v>0</v>
      </c>
      <c r="R389" s="19">
        <v>0</v>
      </c>
      <c r="S389" s="18">
        <v>1764.3</v>
      </c>
      <c r="T389" s="18">
        <v>1332.49</v>
      </c>
      <c r="U389" s="18">
        <v>431.81</v>
      </c>
      <c r="V389" s="16" t="s">
        <v>131</v>
      </c>
      <c r="W389" s="16" t="s">
        <v>85</v>
      </c>
      <c r="X389" s="18">
        <f>IF(OR(O389="",P389="",R389=""),"",O389*P389*(1-R389))</f>
        <v>1764.3</v>
      </c>
      <c r="Y389" s="18">
        <f>IF(OR(X389="",T389=""),"",X389-T389)</f>
        <v>431.81</v>
      </c>
      <c r="Z389" s="19">
        <f>IFERROR(Y389/X389,"")</f>
        <v>0.2447</v>
      </c>
      <c r="AA389" s="16">
        <f>IF(OR(C389="",D389=""),"",D389-C389)</f>
        <v>3</v>
      </c>
      <c r="AB389" s="16">
        <f>IF(C389="","",MONTH(C389))</f>
        <v>8</v>
      </c>
      <c r="AC389" s="16">
        <f>IF(C389="","",YEAR(C389))</f>
        <v>2025</v>
      </c>
      <c r="AD389" s="16" t="s">
        <v>86</v>
      </c>
      <c r="AE389" s="16" t="s">
        <v>66</v>
      </c>
      <c r="AF389" s="16" t="s">
        <v>255</v>
      </c>
    </row>
    <row r="390" spans="1:32" s="10" customFormat="1" x14ac:dyDescent="0.25">
      <c r="A390" s="11">
        <v>390</v>
      </c>
      <c r="B390" s="11" t="s">
        <v>1324</v>
      </c>
      <c r="C390" s="12">
        <v>45424.77083333333</v>
      </c>
      <c r="D390" s="12">
        <v>45429.77083333333</v>
      </c>
      <c r="E390" s="11" t="s">
        <v>1325</v>
      </c>
      <c r="F390" s="11" t="s">
        <v>61</v>
      </c>
      <c r="G390" s="11" t="s">
        <v>51</v>
      </c>
      <c r="H390" s="11" t="s">
        <v>80</v>
      </c>
      <c r="I390" s="11" t="s">
        <v>206</v>
      </c>
      <c r="J390" s="11" t="s">
        <v>207</v>
      </c>
      <c r="K390" s="11" t="s">
        <v>55</v>
      </c>
      <c r="L390" s="11" t="s">
        <v>83</v>
      </c>
      <c r="M390" s="11" t="s">
        <v>1326</v>
      </c>
      <c r="N390" s="11" t="s">
        <v>76</v>
      </c>
      <c r="O390" s="11">
        <v>3</v>
      </c>
      <c r="P390" s="13">
        <v>3128.59</v>
      </c>
      <c r="Q390" s="14">
        <v>0</v>
      </c>
      <c r="R390" s="14">
        <v>0</v>
      </c>
      <c r="S390" s="13">
        <v>9385.77</v>
      </c>
      <c r="T390" s="13">
        <v>6872.44</v>
      </c>
      <c r="U390" s="13">
        <v>2783.66</v>
      </c>
      <c r="V390" s="11" t="s">
        <v>43</v>
      </c>
      <c r="W390" s="11" t="s">
        <v>44</v>
      </c>
      <c r="X390" s="13">
        <f>IF(OR(O390="",P390="",R390=""),"",O390*P390*(1-R390))</f>
        <v>9385.77</v>
      </c>
      <c r="Y390" s="13">
        <f>IF(OR(X390="",T390=""),"",X390-T390)</f>
        <v>2513.33</v>
      </c>
      <c r="Z390" s="14">
        <f>IFERROR(Y390/X390,"")</f>
        <v>0.2678</v>
      </c>
      <c r="AA390" s="11">
        <f>IF(OR(C390="",D390=""),"",D390-C390)</f>
        <v>5</v>
      </c>
      <c r="AB390" s="11">
        <f>IF(C390="","",MONTH(C390))</f>
        <v>5</v>
      </c>
      <c r="AC390" s="11">
        <f>IF(C390="","",YEAR(C390))</f>
        <v>2024</v>
      </c>
      <c r="AD390" s="11" t="s">
        <v>65</v>
      </c>
      <c r="AE390" s="11" t="s">
        <v>66</v>
      </c>
      <c r="AF390" s="11" t="s">
        <v>332</v>
      </c>
    </row>
    <row r="391" spans="1:32" s="15" customFormat="1" x14ac:dyDescent="0.25">
      <c r="A391" s="16">
        <v>391</v>
      </c>
      <c r="B391" s="16" t="s">
        <v>1327</v>
      </c>
      <c r="C391" s="17">
        <v>45386.77083333333</v>
      </c>
      <c r="D391" s="17">
        <v>45394.77083333333</v>
      </c>
      <c r="E391" s="16" t="s">
        <v>1328</v>
      </c>
      <c r="F391" s="16" t="s">
        <v>186</v>
      </c>
      <c r="G391" s="16" t="s">
        <v>109</v>
      </c>
      <c r="H391" s="16" t="s">
        <v>80</v>
      </c>
      <c r="I391" s="16" t="s">
        <v>206</v>
      </c>
      <c r="J391" s="16" t="s">
        <v>207</v>
      </c>
      <c r="K391" s="16" t="s">
        <v>93</v>
      </c>
      <c r="L391" s="16" t="s">
        <v>305</v>
      </c>
      <c r="M391" s="16" t="s">
        <v>1329</v>
      </c>
      <c r="N391" s="16" t="s">
        <v>42</v>
      </c>
      <c r="O391" s="16">
        <v>5</v>
      </c>
      <c r="P391" s="18">
        <v>1937.54</v>
      </c>
      <c r="Q391" s="19">
        <v>0.2</v>
      </c>
      <c r="R391" s="19">
        <v>0.2</v>
      </c>
      <c r="S391" s="18">
        <v>7750.16</v>
      </c>
      <c r="T391" s="18">
        <v>5434.3</v>
      </c>
      <c r="U391" s="18">
        <v>2315.86</v>
      </c>
      <c r="V391" s="16" t="s">
        <v>131</v>
      </c>
      <c r="W391" s="16" t="s">
        <v>85</v>
      </c>
      <c r="X391" s="18">
        <f>IF(OR(O391="",P391="",R391=""),"",O391*P391*(1-R391))</f>
        <v>7750.16</v>
      </c>
      <c r="Y391" s="18">
        <f>IF(OR(X391="",T391=""),"",X391-T391)</f>
        <v>2315.86</v>
      </c>
      <c r="Z391" s="19">
        <f>IFERROR(Y391/X391,"")</f>
        <v>0.2988</v>
      </c>
      <c r="AA391" s="16">
        <f>IF(OR(C391="",D391=""),"",D391-C391)</f>
        <v>8</v>
      </c>
      <c r="AB391" s="16">
        <f>IF(C391="","",MONTH(C391))</f>
        <v>4</v>
      </c>
      <c r="AC391" s="16">
        <f>IF(C391="","",YEAR(C391))</f>
        <v>2024</v>
      </c>
      <c r="AD391" s="16" t="s">
        <v>86</v>
      </c>
      <c r="AE391" s="16" t="s">
        <v>66</v>
      </c>
      <c r="AF391" s="16" t="s">
        <v>255</v>
      </c>
    </row>
    <row r="392" spans="1:32" x14ac:dyDescent="0.25">
      <c r="A392" s="1">
        <v>392</v>
      </c>
      <c r="B392" s="1" t="s">
        <v>1330</v>
      </c>
      <c r="C392" s="2">
        <v>45601.77083333333</v>
      </c>
      <c r="D392" s="2">
        <v>45606.77083333333</v>
      </c>
      <c r="E392" s="1" t="s">
        <v>1331</v>
      </c>
      <c r="F392" s="1" t="s">
        <v>61</v>
      </c>
      <c r="G392" s="1" t="s">
        <v>35</v>
      </c>
      <c r="H392" s="1" t="s">
        <v>80</v>
      </c>
      <c r="I392" s="1" t="s">
        <v>206</v>
      </c>
      <c r="J392" s="1" t="s">
        <v>207</v>
      </c>
      <c r="K392" s="1" t="s">
        <v>55</v>
      </c>
      <c r="L392" s="1" t="s">
        <v>74</v>
      </c>
      <c r="M392" s="1" t="s">
        <v>1332</v>
      </c>
      <c r="N392" s="1" t="s">
        <v>76</v>
      </c>
      <c r="O392" s="1">
        <v>4</v>
      </c>
      <c r="P392" s="3">
        <v>1917.26</v>
      </c>
      <c r="Q392" s="4">
        <v>0.2</v>
      </c>
      <c r="R392" s="4">
        <v>0.2</v>
      </c>
      <c r="S392" s="3">
        <v>6135.23</v>
      </c>
      <c r="T392" s="3">
        <v>3439.79</v>
      </c>
      <c r="U392" s="3">
        <v>2695.44</v>
      </c>
      <c r="V392" s="1" t="s">
        <v>43</v>
      </c>
      <c r="W392" s="1" t="s">
        <v>44</v>
      </c>
      <c r="X392" s="3">
        <f>IF(OR(O392="",P392="",R392=""),"",O392*P392*(1-R392))</f>
        <v>6135.23</v>
      </c>
      <c r="Y392" s="3">
        <f>IF(OR(X392="",T392=""),"",X392-T392)</f>
        <v>2695.44</v>
      </c>
      <c r="Z392" s="4">
        <f>IFERROR(Y392/X392,"")</f>
        <v>0.4393</v>
      </c>
      <c r="AA392" s="1">
        <f>IF(OR(C392="",D392=""),"",D392-C392)</f>
        <v>5</v>
      </c>
      <c r="AB392" s="1">
        <f>IF(C392="","",MONTH(C392))</f>
        <v>11</v>
      </c>
      <c r="AC392" s="1">
        <f>IF(C392="","",YEAR(C392))</f>
        <v>2024</v>
      </c>
      <c r="AD392" s="1" t="s">
        <v>45</v>
      </c>
      <c r="AE392" s="1" t="s">
        <v>46</v>
      </c>
      <c r="AF392" s="1" t="s">
        <v>47</v>
      </c>
    </row>
    <row r="393" spans="1:32" x14ac:dyDescent="0.25">
      <c r="A393" s="1">
        <v>393</v>
      </c>
      <c r="B393" s="1" t="s">
        <v>1333</v>
      </c>
      <c r="C393" s="2">
        <v>45701.77083333333</v>
      </c>
      <c r="D393" s="2">
        <v>45701.77083333333</v>
      </c>
      <c r="E393" s="1" t="s">
        <v>1334</v>
      </c>
      <c r="F393" s="1" t="s">
        <v>186</v>
      </c>
      <c r="G393" s="1" t="s">
        <v>35</v>
      </c>
      <c r="H393" s="1" t="s">
        <v>71</v>
      </c>
      <c r="I393" s="1" t="s">
        <v>201</v>
      </c>
      <c r="J393" s="1" t="s">
        <v>202</v>
      </c>
      <c r="K393" s="1" t="s">
        <v>39</v>
      </c>
      <c r="L393" s="1" t="s">
        <v>145</v>
      </c>
      <c r="M393" s="1" t="s">
        <v>1335</v>
      </c>
      <c r="N393" s="1" t="s">
        <v>64</v>
      </c>
      <c r="O393" s="1">
        <v>1</v>
      </c>
      <c r="P393" s="3">
        <v>714.43</v>
      </c>
      <c r="Q393" s="4">
        <v>0</v>
      </c>
      <c r="R393" s="4">
        <v>0</v>
      </c>
      <c r="S393" s="3">
        <v>714.43</v>
      </c>
      <c r="T393" s="3">
        <v>565.44</v>
      </c>
      <c r="U393" s="3">
        <v>148.99</v>
      </c>
      <c r="V393" s="1" t="s">
        <v>43</v>
      </c>
      <c r="W393" s="1" t="s">
        <v>44</v>
      </c>
      <c r="X393" s="3">
        <f>IF(OR(O393="",P393="",R393=""),"",O393*P393*(1-R393))</f>
        <v>714.43</v>
      </c>
      <c r="Y393" s="3">
        <f>IF(OR(X393="",T393=""),"",X393-T393)</f>
        <v>148.99</v>
      </c>
      <c r="Z393" s="4">
        <f>IFERROR(Y393/X393,"")</f>
        <v>0.2085</v>
      </c>
      <c r="AA393" s="1">
        <f>IF(OR(C393="",D393=""),"",D393-C393)</f>
        <v>0</v>
      </c>
      <c r="AB393" s="1">
        <f>IF(C393="","",MONTH(C393))</f>
        <v>2</v>
      </c>
      <c r="AC393" s="1">
        <f>IF(C393="","",YEAR(C393))</f>
        <v>2025</v>
      </c>
      <c r="AD393" s="1" t="s">
        <v>45</v>
      </c>
      <c r="AE393" s="1" t="s">
        <v>46</v>
      </c>
      <c r="AF393" s="1" t="s">
        <v>47</v>
      </c>
    </row>
    <row r="394" spans="1:32" x14ac:dyDescent="0.25">
      <c r="A394" s="1">
        <v>394</v>
      </c>
      <c r="B394" s="1" t="s">
        <v>1336</v>
      </c>
      <c r="C394" s="2">
        <v>45340.77083333333</v>
      </c>
      <c r="D394" s="2">
        <v>45343.77083333333</v>
      </c>
      <c r="E394" s="1" t="s">
        <v>1337</v>
      </c>
      <c r="F394" s="1" t="s">
        <v>108</v>
      </c>
      <c r="G394" s="1" t="s">
        <v>51</v>
      </c>
      <c r="H394" s="1" t="s">
        <v>71</v>
      </c>
      <c r="I394" s="1" t="s">
        <v>211</v>
      </c>
      <c r="J394" s="1" t="s">
        <v>212</v>
      </c>
      <c r="K394" s="1" t="s">
        <v>55</v>
      </c>
      <c r="L394" s="1" t="s">
        <v>74</v>
      </c>
      <c r="M394" s="1" t="s">
        <v>1338</v>
      </c>
      <c r="N394" s="1" t="s">
        <v>58</v>
      </c>
      <c r="O394" s="1">
        <v>9</v>
      </c>
      <c r="P394" s="3">
        <v>4053.01</v>
      </c>
      <c r="Q394" s="4">
        <v>0</v>
      </c>
      <c r="R394" s="4">
        <v>0</v>
      </c>
      <c r="S394" s="3">
        <v>36477.09</v>
      </c>
      <c r="T394" s="3">
        <v>24525.48</v>
      </c>
      <c r="U394" s="3">
        <v>11951.61</v>
      </c>
      <c r="V394" s="1" t="s">
        <v>43</v>
      </c>
      <c r="W394" s="1" t="s">
        <v>44</v>
      </c>
      <c r="X394" s="3">
        <f>IF(OR(O394="",P394="",R394=""),"",O394*P394*(1-R394))</f>
        <v>36477.09</v>
      </c>
      <c r="Y394" s="3">
        <f>IF(OR(X394="",T394=""),"",X394-T394)</f>
        <v>11951.61</v>
      </c>
      <c r="Z394" s="4">
        <f>IFERROR(Y394/X394,"")</f>
        <v>0.3276</v>
      </c>
      <c r="AA394" s="1">
        <f>IF(OR(C394="",D394=""),"",D394-C394)</f>
        <v>3</v>
      </c>
      <c r="AB394" s="1">
        <f>IF(C394="","",MONTH(C394))</f>
        <v>2</v>
      </c>
      <c r="AC394" s="1">
        <f>IF(C394="","",YEAR(C394))</f>
        <v>2024</v>
      </c>
      <c r="AD394" s="1" t="s">
        <v>45</v>
      </c>
      <c r="AE394" s="1" t="s">
        <v>46</v>
      </c>
      <c r="AF394" s="1" t="s">
        <v>47</v>
      </c>
    </row>
    <row r="395" spans="1:32" x14ac:dyDescent="0.25">
      <c r="A395" s="1">
        <v>395</v>
      </c>
      <c r="B395" s="1" t="s">
        <v>1339</v>
      </c>
      <c r="C395" s="2">
        <v>45526.77083333333</v>
      </c>
      <c r="D395" s="2">
        <v>45532.77083333333</v>
      </c>
      <c r="E395" s="1" t="s">
        <v>1340</v>
      </c>
      <c r="F395" s="1" t="s">
        <v>50</v>
      </c>
      <c r="G395" s="1" t="s">
        <v>109</v>
      </c>
      <c r="H395" s="1" t="s">
        <v>36</v>
      </c>
      <c r="I395" s="1" t="s">
        <v>157</v>
      </c>
      <c r="J395" s="1" t="s">
        <v>158</v>
      </c>
      <c r="K395" s="1" t="s">
        <v>39</v>
      </c>
      <c r="L395" s="1" t="s">
        <v>110</v>
      </c>
      <c r="M395" s="1" t="s">
        <v>1341</v>
      </c>
      <c r="N395" s="1" t="s">
        <v>58</v>
      </c>
      <c r="O395" s="1">
        <v>2</v>
      </c>
      <c r="P395" s="3">
        <v>1936.91</v>
      </c>
      <c r="Q395" s="4">
        <v>0.05</v>
      </c>
      <c r="R395" s="4">
        <v>0.05</v>
      </c>
      <c r="S395" s="3">
        <v>3680.13</v>
      </c>
      <c r="T395" s="3">
        <v>2967.46</v>
      </c>
      <c r="U395" s="3">
        <v>712.67</v>
      </c>
      <c r="V395" s="1" t="s">
        <v>43</v>
      </c>
      <c r="W395" s="1" t="s">
        <v>44</v>
      </c>
      <c r="X395" s="3">
        <f>IF(OR(O395="",P395="",R395=""),"",O395*P395*(1-R395))</f>
        <v>3680.13</v>
      </c>
      <c r="Y395" s="3">
        <f>IF(OR(X395="",T395=""),"",X395-T395)</f>
        <v>712.67</v>
      </c>
      <c r="Z395" s="4">
        <f>IFERROR(Y395/X395,"")</f>
        <v>0.1937</v>
      </c>
      <c r="AA395" s="1">
        <f>IF(OR(C395="",D395=""),"",D395-C395)</f>
        <v>6</v>
      </c>
      <c r="AB395" s="1">
        <f>IF(C395="","",MONTH(C395))</f>
        <v>8</v>
      </c>
      <c r="AC395" s="1">
        <f>IF(C395="","",YEAR(C395))</f>
        <v>2024</v>
      </c>
      <c r="AD395" s="1" t="s">
        <v>45</v>
      </c>
      <c r="AE395" s="1" t="s">
        <v>46</v>
      </c>
      <c r="AF395" s="1" t="s">
        <v>47</v>
      </c>
    </row>
    <row r="396" spans="1:32" x14ac:dyDescent="0.25">
      <c r="A396" s="1">
        <v>396</v>
      </c>
      <c r="B396" s="1" t="s">
        <v>1342</v>
      </c>
      <c r="C396" s="2">
        <v>45384.77083333333</v>
      </c>
      <c r="D396" s="2">
        <v>45385.77083333333</v>
      </c>
      <c r="E396" s="1" t="s">
        <v>1343</v>
      </c>
      <c r="F396" s="1" t="s">
        <v>294</v>
      </c>
      <c r="G396" s="1" t="s">
        <v>35</v>
      </c>
      <c r="H396" s="1" t="s">
        <v>80</v>
      </c>
      <c r="I396" s="1" t="s">
        <v>81</v>
      </c>
      <c r="J396" s="1" t="s">
        <v>82</v>
      </c>
      <c r="K396" s="1" t="s">
        <v>55</v>
      </c>
      <c r="L396" s="1" t="s">
        <v>74</v>
      </c>
      <c r="M396" s="1" t="s">
        <v>1344</v>
      </c>
      <c r="N396" s="1" t="s">
        <v>64</v>
      </c>
      <c r="O396" s="1">
        <v>7</v>
      </c>
      <c r="P396" s="3">
        <v>3945.21</v>
      </c>
      <c r="Q396" s="4">
        <v>0</v>
      </c>
      <c r="R396" s="4">
        <v>0</v>
      </c>
      <c r="S396" s="3">
        <v>27616.47</v>
      </c>
      <c r="T396" s="3">
        <v>21225.26</v>
      </c>
      <c r="U396" s="3">
        <v>6391.21</v>
      </c>
      <c r="V396" s="1" t="s">
        <v>43</v>
      </c>
      <c r="W396" s="1" t="s">
        <v>44</v>
      </c>
      <c r="X396" s="3">
        <f>IF(OR(O396="",P396="",R396=""),"",O396*P396*(1-R396))</f>
        <v>27616.47</v>
      </c>
      <c r="Y396" s="3">
        <f>IF(OR(X396="",T396=""),"",X396-T396)</f>
        <v>6391.21</v>
      </c>
      <c r="Z396" s="4">
        <f>IFERROR(Y396/X396,"")</f>
        <v>0.2314</v>
      </c>
      <c r="AA396" s="1">
        <f>IF(OR(C396="",D396=""),"",D396-C396)</f>
        <v>1</v>
      </c>
      <c r="AB396" s="1">
        <f>IF(C396="","",MONTH(C396))</f>
        <v>4</v>
      </c>
      <c r="AC396" s="1">
        <f>IF(C396="","",YEAR(C396))</f>
        <v>2024</v>
      </c>
      <c r="AD396" s="1" t="s">
        <v>45</v>
      </c>
      <c r="AE396" s="1" t="s">
        <v>46</v>
      </c>
      <c r="AF396" s="1" t="s">
        <v>47</v>
      </c>
    </row>
    <row r="397" spans="1:32" x14ac:dyDescent="0.25">
      <c r="A397" s="1">
        <v>397</v>
      </c>
      <c r="B397" s="1" t="s">
        <v>1345</v>
      </c>
      <c r="C397" s="2">
        <v>45448.77083333333</v>
      </c>
      <c r="D397" s="2">
        <v>45449.77083333333</v>
      </c>
      <c r="E397" s="1" t="s">
        <v>1346</v>
      </c>
      <c r="F397" s="1" t="s">
        <v>139</v>
      </c>
      <c r="G397" s="1" t="s">
        <v>114</v>
      </c>
      <c r="H397" s="1" t="s">
        <v>71</v>
      </c>
      <c r="I397" s="1" t="s">
        <v>277</v>
      </c>
      <c r="J397" s="1" t="s">
        <v>278</v>
      </c>
      <c r="K397" s="1" t="s">
        <v>55</v>
      </c>
      <c r="L397" s="1" t="s">
        <v>56</v>
      </c>
      <c r="M397" s="1" t="s">
        <v>1347</v>
      </c>
      <c r="N397" s="1" t="s">
        <v>58</v>
      </c>
      <c r="O397" s="1">
        <v>7</v>
      </c>
      <c r="P397" s="3">
        <v>861.91</v>
      </c>
      <c r="Q397" s="4">
        <v>0.05</v>
      </c>
      <c r="R397" s="4">
        <v>0.05</v>
      </c>
      <c r="S397" s="3">
        <v>5731.7</v>
      </c>
      <c r="T397" s="3">
        <v>4115.56</v>
      </c>
      <c r="U397" s="3">
        <v>1616.14</v>
      </c>
      <c r="V397" s="1" t="s">
        <v>43</v>
      </c>
      <c r="W397" s="1" t="s">
        <v>44</v>
      </c>
      <c r="X397" s="3">
        <f>IF(OR(O397="",P397="",R397=""),"",O397*P397*(1-R397))</f>
        <v>5731.7</v>
      </c>
      <c r="Y397" s="3">
        <f>IF(OR(X397="",T397=""),"",X397-T397)</f>
        <v>1616.14</v>
      </c>
      <c r="Z397" s="4">
        <f>IFERROR(Y397/X397,"")</f>
        <v>0.282</v>
      </c>
      <c r="AA397" s="1">
        <f>IF(OR(C397="",D397=""),"",D397-C397)</f>
        <v>1</v>
      </c>
      <c r="AB397" s="1">
        <f>IF(C397="","",MONTH(C397))</f>
        <v>6</v>
      </c>
      <c r="AC397" s="1">
        <f>IF(C397="","",YEAR(C397))</f>
        <v>2024</v>
      </c>
      <c r="AD397" s="1" t="s">
        <v>45</v>
      </c>
      <c r="AE397" s="1" t="s">
        <v>46</v>
      </c>
      <c r="AF397" s="1" t="s">
        <v>47</v>
      </c>
    </row>
    <row r="398" spans="1:32" x14ac:dyDescent="0.25">
      <c r="A398" s="1">
        <v>398</v>
      </c>
      <c r="B398" s="1" t="s">
        <v>1348</v>
      </c>
      <c r="C398" s="2">
        <v>45760.77083333333</v>
      </c>
      <c r="D398" s="2">
        <v>45768.77083333333</v>
      </c>
      <c r="E398" s="1" t="s">
        <v>1349</v>
      </c>
      <c r="F398" s="1" t="s">
        <v>108</v>
      </c>
      <c r="G398" s="1" t="s">
        <v>51</v>
      </c>
      <c r="H398" s="1" t="s">
        <v>71</v>
      </c>
      <c r="I398" s="1" t="s">
        <v>201</v>
      </c>
      <c r="J398" s="1" t="s">
        <v>202</v>
      </c>
      <c r="K398" s="1" t="s">
        <v>93</v>
      </c>
      <c r="L398" s="1" t="s">
        <v>305</v>
      </c>
      <c r="M398" s="1" t="s">
        <v>1350</v>
      </c>
      <c r="N398" s="1" t="s">
        <v>76</v>
      </c>
      <c r="O398" s="1">
        <v>2</v>
      </c>
      <c r="P398" s="3">
        <v>638.73</v>
      </c>
      <c r="Q398" s="4">
        <v>0.05</v>
      </c>
      <c r="R398" s="4">
        <v>0.05</v>
      </c>
      <c r="S398" s="3">
        <v>1213.59</v>
      </c>
      <c r="T398" s="3">
        <v>956.22</v>
      </c>
      <c r="U398" s="3">
        <v>257.37</v>
      </c>
      <c r="V398" s="1" t="s">
        <v>43</v>
      </c>
      <c r="W398" s="1" t="s">
        <v>44</v>
      </c>
      <c r="X398" s="3">
        <f>IF(OR(O398="",P398="",R398=""),"",O398*P398*(1-R398))</f>
        <v>1213.59</v>
      </c>
      <c r="Y398" s="3">
        <f>IF(OR(X398="",T398=""),"",X398-T398)</f>
        <v>257.37</v>
      </c>
      <c r="Z398" s="4">
        <f>IFERROR(Y398/X398,"")</f>
        <v>0.2121</v>
      </c>
      <c r="AA398" s="1">
        <f>IF(OR(C398="",D398=""),"",D398-C398)</f>
        <v>8</v>
      </c>
      <c r="AB398" s="1">
        <f>IF(C398="","",MONTH(C398))</f>
        <v>4</v>
      </c>
      <c r="AC398" s="1">
        <f>IF(C398="","",YEAR(C398))</f>
        <v>2025</v>
      </c>
      <c r="AD398" s="1" t="s">
        <v>45</v>
      </c>
      <c r="AE398" s="1" t="s">
        <v>46</v>
      </c>
      <c r="AF398" s="1" t="s">
        <v>47</v>
      </c>
    </row>
    <row r="399" spans="1:32" x14ac:dyDescent="0.25">
      <c r="A399" s="1">
        <v>399</v>
      </c>
      <c r="B399" s="1" t="s">
        <v>1351</v>
      </c>
      <c r="C399" s="2">
        <v>45816.77083333333</v>
      </c>
      <c r="D399" s="2">
        <v>45817.77083333333</v>
      </c>
      <c r="E399" s="1" t="s">
        <v>1352</v>
      </c>
      <c r="F399" s="1" t="s">
        <v>153</v>
      </c>
      <c r="G399" s="1" t="s">
        <v>51</v>
      </c>
      <c r="H399" s="1" t="s">
        <v>36</v>
      </c>
      <c r="I399" s="1" t="s">
        <v>157</v>
      </c>
      <c r="J399" s="1" t="s">
        <v>158</v>
      </c>
      <c r="K399" s="1" t="s">
        <v>55</v>
      </c>
      <c r="L399" s="1" t="s">
        <v>56</v>
      </c>
      <c r="M399" s="1" t="s">
        <v>1353</v>
      </c>
      <c r="N399" s="1" t="s">
        <v>42</v>
      </c>
      <c r="O399" s="1">
        <v>2</v>
      </c>
      <c r="P399" s="3">
        <v>1731.88</v>
      </c>
      <c r="Q399" s="4">
        <v>0</v>
      </c>
      <c r="R399" s="4">
        <v>0</v>
      </c>
      <c r="S399" s="3">
        <v>3463.76</v>
      </c>
      <c r="T399" s="3">
        <v>2143.74</v>
      </c>
      <c r="U399" s="3">
        <v>1320.02</v>
      </c>
      <c r="V399" s="1" t="s">
        <v>43</v>
      </c>
      <c r="W399" s="1" t="s">
        <v>44</v>
      </c>
      <c r="X399" s="3">
        <f>IF(OR(O399="",P399="",R399=""),"",O399*P399*(1-R399))</f>
        <v>3463.76</v>
      </c>
      <c r="Y399" s="3">
        <f>IF(OR(X399="",T399=""),"",X399-T399)</f>
        <v>1320.02</v>
      </c>
      <c r="Z399" s="4">
        <f>IFERROR(Y399/X399,"")</f>
        <v>0.3811</v>
      </c>
      <c r="AA399" s="1">
        <f>IF(OR(C399="",D399=""),"",D399-C399)</f>
        <v>1</v>
      </c>
      <c r="AB399" s="1">
        <f>IF(C399="","",MONTH(C399))</f>
        <v>6</v>
      </c>
      <c r="AC399" s="1">
        <f>IF(C399="","",YEAR(C399))</f>
        <v>2025</v>
      </c>
      <c r="AD399" s="1" t="s">
        <v>45</v>
      </c>
      <c r="AE399" s="1" t="s">
        <v>46</v>
      </c>
      <c r="AF399" s="1" t="s">
        <v>47</v>
      </c>
    </row>
    <row r="400" spans="1:32" x14ac:dyDescent="0.25">
      <c r="A400" s="1">
        <v>400</v>
      </c>
      <c r="B400" s="1" t="s">
        <v>1354</v>
      </c>
      <c r="C400" s="2">
        <v>45491.77083333333</v>
      </c>
      <c r="D400" s="2">
        <v>45498.77083333333</v>
      </c>
      <c r="E400" s="1" t="s">
        <v>1355</v>
      </c>
      <c r="F400" s="1" t="s">
        <v>90</v>
      </c>
      <c r="G400" s="1" t="s">
        <v>109</v>
      </c>
      <c r="H400" s="1" t="s">
        <v>36</v>
      </c>
      <c r="I400" s="1" t="s">
        <v>143</v>
      </c>
      <c r="J400" s="1" t="s">
        <v>144</v>
      </c>
      <c r="K400" s="1" t="s">
        <v>93</v>
      </c>
      <c r="L400" s="1" t="s">
        <v>305</v>
      </c>
      <c r="M400" s="1" t="s">
        <v>1356</v>
      </c>
      <c r="N400" s="1" t="s">
        <v>58</v>
      </c>
      <c r="O400" s="1">
        <v>2</v>
      </c>
      <c r="P400" s="3">
        <v>1263.65</v>
      </c>
      <c r="Q400" s="4">
        <v>0.2</v>
      </c>
      <c r="R400" s="4">
        <v>0.2</v>
      </c>
      <c r="S400" s="3">
        <v>2021.84</v>
      </c>
      <c r="T400" s="3">
        <v>1355.22</v>
      </c>
      <c r="U400" s="3">
        <v>666.62</v>
      </c>
      <c r="V400" s="1" t="s">
        <v>43</v>
      </c>
      <c r="W400" s="1" t="s">
        <v>44</v>
      </c>
      <c r="X400" s="3">
        <f>IF(OR(O400="",P400="",R400=""),"",O400*P400*(1-R400))</f>
        <v>2021.84</v>
      </c>
      <c r="Y400" s="3">
        <f>IF(OR(X400="",T400=""),"",X400-T400)</f>
        <v>666.62</v>
      </c>
      <c r="Z400" s="4">
        <f>IFERROR(Y400/X400,"")</f>
        <v>0.3297</v>
      </c>
      <c r="AA400" s="1">
        <f>IF(OR(C400="",D400=""),"",D400-C400)</f>
        <v>7</v>
      </c>
      <c r="AB400" s="1">
        <f>IF(C400="","",MONTH(C400))</f>
        <v>7</v>
      </c>
      <c r="AC400" s="1">
        <f>IF(C400="","",YEAR(C400))</f>
        <v>2024</v>
      </c>
      <c r="AD400" s="1" t="s">
        <v>45</v>
      </c>
      <c r="AE400" s="1" t="s">
        <v>46</v>
      </c>
      <c r="AF400" s="1" t="s">
        <v>47</v>
      </c>
    </row>
    <row r="401" spans="1:32" x14ac:dyDescent="0.25">
      <c r="A401" s="1">
        <v>401</v>
      </c>
      <c r="B401" s="1" t="s">
        <v>1357</v>
      </c>
      <c r="C401" s="2">
        <v>45770.77083333333</v>
      </c>
      <c r="D401" s="2">
        <v>45775.77083333333</v>
      </c>
      <c r="E401" s="1" t="s">
        <v>1358</v>
      </c>
      <c r="F401" s="1" t="s">
        <v>186</v>
      </c>
      <c r="G401" s="1" t="s">
        <v>51</v>
      </c>
      <c r="H401" s="1" t="s">
        <v>71</v>
      </c>
      <c r="I401" s="1" t="s">
        <v>103</v>
      </c>
      <c r="J401" s="1" t="s">
        <v>104</v>
      </c>
      <c r="K401" s="1" t="s">
        <v>39</v>
      </c>
      <c r="L401" s="1" t="s">
        <v>40</v>
      </c>
      <c r="M401" s="1" t="s">
        <v>1359</v>
      </c>
      <c r="N401" s="1" t="s">
        <v>58</v>
      </c>
      <c r="O401" s="1">
        <v>1</v>
      </c>
      <c r="P401" s="3">
        <v>4358.5</v>
      </c>
      <c r="Q401" s="4">
        <v>0.25</v>
      </c>
      <c r="R401" s="4">
        <v>0.25</v>
      </c>
      <c r="S401" s="3">
        <v>3268.88</v>
      </c>
      <c r="T401" s="3">
        <v>1993.74</v>
      </c>
      <c r="U401" s="3">
        <v>1275.14</v>
      </c>
      <c r="V401" s="1" t="s">
        <v>43</v>
      </c>
      <c r="W401" s="1" t="s">
        <v>44</v>
      </c>
      <c r="X401" s="3">
        <f>IF(OR(O401="",P401="",R401=""),"",O401*P401*(1-R401))</f>
        <v>3268.88</v>
      </c>
      <c r="Y401" s="3">
        <f>IF(OR(X401="",T401=""),"",X401-T401)</f>
        <v>1275.14</v>
      </c>
      <c r="Z401" s="4">
        <f>IFERROR(Y401/X401,"")</f>
        <v>0.3901</v>
      </c>
      <c r="AA401" s="1">
        <f>IF(OR(C401="",D401=""),"",D401-C401)</f>
        <v>5</v>
      </c>
      <c r="AB401" s="1">
        <f>IF(C401="","",MONTH(C401))</f>
        <v>4</v>
      </c>
      <c r="AC401" s="1">
        <f>IF(C401="","",YEAR(C401))</f>
        <v>2025</v>
      </c>
      <c r="AD401" s="1" t="s">
        <v>45</v>
      </c>
      <c r="AE401" s="1" t="s">
        <v>46</v>
      </c>
      <c r="AF401" s="1" t="s">
        <v>47</v>
      </c>
    </row>
    <row r="402" spans="1:32" s="10" customFormat="1" x14ac:dyDescent="0.25">
      <c r="A402" s="11">
        <v>402</v>
      </c>
      <c r="B402" s="11" t="s">
        <v>1360</v>
      </c>
      <c r="C402" s="12">
        <v>45813.77083333333</v>
      </c>
      <c r="D402" s="12">
        <v>45818.77083333333</v>
      </c>
      <c r="E402" s="11" t="s">
        <v>1361</v>
      </c>
      <c r="F402" s="11" t="s">
        <v>153</v>
      </c>
      <c r="G402" s="11" t="s">
        <v>51</v>
      </c>
      <c r="H402" s="11" t="s">
        <v>36</v>
      </c>
      <c r="I402" s="11" t="s">
        <v>157</v>
      </c>
      <c r="J402" s="11" t="s">
        <v>158</v>
      </c>
      <c r="K402" s="11" t="s">
        <v>39</v>
      </c>
      <c r="L402" s="11" t="s">
        <v>40</v>
      </c>
      <c r="M402" s="11" t="s">
        <v>1362</v>
      </c>
      <c r="N402" s="11" t="s">
        <v>58</v>
      </c>
      <c r="O402" s="11">
        <v>7</v>
      </c>
      <c r="P402" s="13">
        <v>878.09</v>
      </c>
      <c r="Q402" s="14">
        <v>-0.1</v>
      </c>
      <c r="R402" s="14">
        <v>-0.1</v>
      </c>
      <c r="S402" s="13">
        <v>5839.3</v>
      </c>
      <c r="T402" s="13">
        <v>4877.38</v>
      </c>
      <c r="U402" s="13">
        <v>961.92</v>
      </c>
      <c r="V402" s="11" t="s">
        <v>43</v>
      </c>
      <c r="W402" s="11" t="s">
        <v>44</v>
      </c>
      <c r="X402" s="13">
        <f>IF(OR(O402="",P402="",R402=""),"",O402*P402*(1-R402))</f>
        <v>6761.29</v>
      </c>
      <c r="Y402" s="13">
        <f>IF(OR(X402="",T402=""),"",X402-T402)</f>
        <v>1883.91</v>
      </c>
      <c r="Z402" s="14">
        <f>IFERROR(Y402/X402,"")</f>
        <v>0.2786</v>
      </c>
      <c r="AA402" s="11">
        <f>IF(OR(C402="",D402=""),"",D402-C402)</f>
        <v>5</v>
      </c>
      <c r="AB402" s="11">
        <f>IF(C402="","",MONTH(C402))</f>
        <v>6</v>
      </c>
      <c r="AC402" s="11">
        <f>IF(C402="","",YEAR(C402))</f>
        <v>2025</v>
      </c>
      <c r="AD402" s="11" t="s">
        <v>65</v>
      </c>
      <c r="AE402" s="11" t="s">
        <v>66</v>
      </c>
      <c r="AF402" s="11" t="s">
        <v>165</v>
      </c>
    </row>
    <row r="403" spans="1:32" x14ac:dyDescent="0.25">
      <c r="A403" s="1">
        <v>403</v>
      </c>
      <c r="B403" s="1" t="s">
        <v>1363</v>
      </c>
      <c r="C403" s="2">
        <v>45724.77083333333</v>
      </c>
      <c r="D403" s="2">
        <v>45731.77083333333</v>
      </c>
      <c r="E403" s="1" t="s">
        <v>1364</v>
      </c>
      <c r="F403" s="1" t="s">
        <v>70</v>
      </c>
      <c r="G403" s="1" t="s">
        <v>51</v>
      </c>
      <c r="H403" s="1" t="s">
        <v>52</v>
      </c>
      <c r="I403" s="1" t="s">
        <v>258</v>
      </c>
      <c r="J403" s="1" t="s">
        <v>259</v>
      </c>
      <c r="K403" s="1" t="s">
        <v>55</v>
      </c>
      <c r="L403" s="1" t="s">
        <v>56</v>
      </c>
      <c r="M403" s="1" t="s">
        <v>1365</v>
      </c>
      <c r="N403" s="1" t="s">
        <v>58</v>
      </c>
      <c r="O403" s="1">
        <v>3</v>
      </c>
      <c r="P403" s="3">
        <v>2625.85</v>
      </c>
      <c r="Q403" s="4">
        <v>0</v>
      </c>
      <c r="R403" s="4">
        <v>0</v>
      </c>
      <c r="S403" s="3">
        <v>7877.55</v>
      </c>
      <c r="T403" s="3">
        <v>5562.77</v>
      </c>
      <c r="U403" s="3">
        <v>2314.78</v>
      </c>
      <c r="V403" s="1" t="s">
        <v>43</v>
      </c>
      <c r="W403" s="1" t="s">
        <v>44</v>
      </c>
      <c r="X403" s="3">
        <f>IF(OR(O403="",P403="",R403=""),"",O403*P403*(1-R403))</f>
        <v>7877.55</v>
      </c>
      <c r="Y403" s="3">
        <f>IF(OR(X403="",T403=""),"",X403-T403)</f>
        <v>2314.78</v>
      </c>
      <c r="Z403" s="4">
        <f>IFERROR(Y403/X403,"")</f>
        <v>0.2938</v>
      </c>
      <c r="AA403" s="1">
        <f>IF(OR(C403="",D403=""),"",D403-C403)</f>
        <v>7</v>
      </c>
      <c r="AB403" s="1">
        <f>IF(C403="","",MONTH(C403))</f>
        <v>3</v>
      </c>
      <c r="AC403" s="1">
        <f>IF(C403="","",YEAR(C403))</f>
        <v>2025</v>
      </c>
      <c r="AD403" s="1" t="s">
        <v>45</v>
      </c>
      <c r="AE403" s="1" t="s">
        <v>46</v>
      </c>
      <c r="AF403" s="1" t="s">
        <v>47</v>
      </c>
    </row>
    <row r="404" spans="1:32" s="15" customFormat="1" x14ac:dyDescent="0.25">
      <c r="A404" s="16">
        <v>404</v>
      </c>
      <c r="B404" s="16" t="s">
        <v>1366</v>
      </c>
      <c r="C404" s="17">
        <v>45372.77083333333</v>
      </c>
      <c r="D404" s="17">
        <v>45372.77083333333</v>
      </c>
      <c r="E404" s="16" t="s">
        <v>1367</v>
      </c>
      <c r="F404" s="16" t="s">
        <v>135</v>
      </c>
      <c r="G404" s="16" t="s">
        <v>51</v>
      </c>
      <c r="H404" s="16" t="s">
        <v>71</v>
      </c>
      <c r="I404" s="16" t="s">
        <v>201</v>
      </c>
      <c r="J404" s="16" t="s">
        <v>202</v>
      </c>
      <c r="K404" s="16" t="s">
        <v>55</v>
      </c>
      <c r="L404" s="16" t="s">
        <v>56</v>
      </c>
      <c r="M404" s="16" t="s">
        <v>1368</v>
      </c>
      <c r="N404" s="16" t="s">
        <v>232</v>
      </c>
      <c r="O404" s="16">
        <v>3</v>
      </c>
      <c r="P404" s="18">
        <v>1365.26</v>
      </c>
      <c r="Q404" s="19">
        <v>0</v>
      </c>
      <c r="R404" s="19">
        <v>0</v>
      </c>
      <c r="S404" s="18">
        <v>4095.78</v>
      </c>
      <c r="T404" s="18">
        <v>2807.77</v>
      </c>
      <c r="U404" s="18">
        <v>1288.01</v>
      </c>
      <c r="V404" s="16" t="s">
        <v>43</v>
      </c>
      <c r="W404" s="16" t="s">
        <v>44</v>
      </c>
      <c r="X404" s="18">
        <f>IF(OR(O404="",P404="",R404=""),"",O404*P404*(1-R404))</f>
        <v>4095.78</v>
      </c>
      <c r="Y404" s="18">
        <f>IF(OR(X404="",T404=""),"",X404-T404)</f>
        <v>1288.01</v>
      </c>
      <c r="Z404" s="19">
        <f>IFERROR(Y404/X404,"")</f>
        <v>0.3145</v>
      </c>
      <c r="AA404" s="16">
        <f>IF(OR(C404="",D404=""),"",D404-C404)</f>
        <v>0</v>
      </c>
      <c r="AB404" s="16">
        <f>IF(C404="","",MONTH(C404))</f>
        <v>3</v>
      </c>
      <c r="AC404" s="16">
        <f>IF(C404="","",YEAR(C404))</f>
        <v>2024</v>
      </c>
      <c r="AD404" s="16" t="s">
        <v>86</v>
      </c>
      <c r="AE404" s="16" t="s">
        <v>46</v>
      </c>
      <c r="AF404" s="16" t="s">
        <v>442</v>
      </c>
    </row>
    <row r="405" spans="1:32" s="15" customFormat="1" x14ac:dyDescent="0.25">
      <c r="A405" s="16">
        <v>405</v>
      </c>
      <c r="B405" s="16" t="s">
        <v>1369</v>
      </c>
      <c r="C405" s="17">
        <v>45564.77083333333</v>
      </c>
      <c r="D405" s="17">
        <v>45568.77083333333</v>
      </c>
      <c r="E405" s="16" t="s">
        <v>1370</v>
      </c>
      <c r="F405" s="16" t="s">
        <v>70</v>
      </c>
      <c r="G405" s="16" t="s">
        <v>51</v>
      </c>
      <c r="H405" s="16" t="s">
        <v>71</v>
      </c>
      <c r="I405" s="16" t="s">
        <v>211</v>
      </c>
      <c r="J405" s="16" t="s">
        <v>212</v>
      </c>
      <c r="K405" s="16" t="s">
        <v>39</v>
      </c>
      <c r="L405" s="16" t="s">
        <v>40</v>
      </c>
      <c r="M405" s="16" t="s">
        <v>1371</v>
      </c>
      <c r="N405" s="16" t="s">
        <v>58</v>
      </c>
      <c r="O405" s="16">
        <v>5</v>
      </c>
      <c r="P405" s="18">
        <v>3512.25</v>
      </c>
      <c r="Q405" s="19">
        <v>0.05</v>
      </c>
      <c r="R405" s="19">
        <v>0.05</v>
      </c>
      <c r="S405" s="18">
        <v>16683.19</v>
      </c>
      <c r="T405" s="18">
        <v>10301.16</v>
      </c>
      <c r="U405" s="18">
        <v>6382.03</v>
      </c>
      <c r="V405" s="16" t="s">
        <v>43</v>
      </c>
      <c r="W405" s="16" t="s">
        <v>122</v>
      </c>
      <c r="X405" s="18">
        <f>IF(OR(O405="",P405="",R405=""),"",O405*P405*(1-R405))</f>
        <v>16683.19</v>
      </c>
      <c r="Y405" s="18">
        <f>IF(OR(X405="",T405=""),"",X405-T405)</f>
        <v>6382.03</v>
      </c>
      <c r="Z405" s="19">
        <f>IFERROR(Y405/X405,"")</f>
        <v>0.3825</v>
      </c>
      <c r="AA405" s="16">
        <f>IF(OR(C405="",D405=""),"",D405-C405)</f>
        <v>4</v>
      </c>
      <c r="AB405" s="16">
        <f>IF(C405="","",MONTH(C405))</f>
        <v>9</v>
      </c>
      <c r="AC405" s="16">
        <f>IF(C405="","",YEAR(C405))</f>
        <v>2024</v>
      </c>
      <c r="AD405" s="16" t="s">
        <v>86</v>
      </c>
      <c r="AE405" s="16" t="s">
        <v>66</v>
      </c>
      <c r="AF405" s="16" t="s">
        <v>198</v>
      </c>
    </row>
    <row r="406" spans="1:32" x14ac:dyDescent="0.25">
      <c r="A406" s="1">
        <v>406</v>
      </c>
      <c r="B406" s="1" t="s">
        <v>1372</v>
      </c>
      <c r="C406" s="2">
        <v>45317.77083333333</v>
      </c>
      <c r="D406" s="2">
        <v>45324.77083333333</v>
      </c>
      <c r="E406" s="1" t="s">
        <v>1373</v>
      </c>
      <c r="F406" s="1" t="s">
        <v>108</v>
      </c>
      <c r="G406" s="1" t="s">
        <v>109</v>
      </c>
      <c r="H406" s="1" t="s">
        <v>80</v>
      </c>
      <c r="I406" s="1" t="s">
        <v>37</v>
      </c>
      <c r="J406" s="1" t="s">
        <v>129</v>
      </c>
      <c r="K406" s="1" t="s">
        <v>55</v>
      </c>
      <c r="L406" s="1" t="s">
        <v>83</v>
      </c>
      <c r="M406" s="1" t="s">
        <v>1374</v>
      </c>
      <c r="N406" s="1" t="s">
        <v>58</v>
      </c>
      <c r="O406" s="1">
        <v>3</v>
      </c>
      <c r="P406" s="3">
        <v>359.61</v>
      </c>
      <c r="Q406" s="4">
        <v>0</v>
      </c>
      <c r="R406" s="4">
        <v>0</v>
      </c>
      <c r="S406" s="3">
        <v>1078.83</v>
      </c>
      <c r="T406" s="3">
        <v>926.35</v>
      </c>
      <c r="U406" s="3">
        <v>152.48</v>
      </c>
      <c r="V406" s="1" t="s">
        <v>43</v>
      </c>
      <c r="W406" s="1" t="s">
        <v>44</v>
      </c>
      <c r="X406" s="3">
        <f>IF(OR(O406="",P406="",R406=""),"",O406*P406*(1-R406))</f>
        <v>1078.83</v>
      </c>
      <c r="Y406" s="3">
        <f>IF(OR(X406="",T406=""),"",X406-T406)</f>
        <v>152.48</v>
      </c>
      <c r="Z406" s="4">
        <f>IFERROR(Y406/X406,"")</f>
        <v>0.1413</v>
      </c>
      <c r="AA406" s="1">
        <f>IF(OR(C406="",D406=""),"",D406-C406)</f>
        <v>7</v>
      </c>
      <c r="AB406" s="1">
        <f>IF(C406="","",MONTH(C406))</f>
        <v>1</v>
      </c>
      <c r="AC406" s="1">
        <f>IF(C406="","",YEAR(C406))</f>
        <v>2024</v>
      </c>
      <c r="AD406" s="1" t="s">
        <v>45</v>
      </c>
      <c r="AE406" s="1" t="s">
        <v>46</v>
      </c>
      <c r="AF406" s="1" t="s">
        <v>47</v>
      </c>
    </row>
    <row r="407" spans="1:32" s="15" customFormat="1" x14ac:dyDescent="0.25">
      <c r="A407" s="16">
        <v>407</v>
      </c>
      <c r="B407" s="16" t="s">
        <v>1375</v>
      </c>
      <c r="C407" s="17">
        <v>45557.77083333333</v>
      </c>
      <c r="D407" s="17">
        <v>45558.77083333333</v>
      </c>
      <c r="E407" s="16" t="s">
        <v>1376</v>
      </c>
      <c r="F407" s="16" t="s">
        <v>108</v>
      </c>
      <c r="G407" s="16" t="s">
        <v>114</v>
      </c>
      <c r="H407" s="16" t="s">
        <v>80</v>
      </c>
      <c r="I407" s="16" t="s">
        <v>206</v>
      </c>
      <c r="J407" s="16" t="s">
        <v>207</v>
      </c>
      <c r="K407" s="16" t="s">
        <v>55</v>
      </c>
      <c r="L407" s="16" t="s">
        <v>182</v>
      </c>
      <c r="M407" s="16" t="s">
        <v>1377</v>
      </c>
      <c r="N407" s="16" t="s">
        <v>232</v>
      </c>
      <c r="O407" s="16">
        <v>7</v>
      </c>
      <c r="P407" s="18">
        <v>3878.01</v>
      </c>
      <c r="Q407" s="19">
        <v>0.1</v>
      </c>
      <c r="R407" s="19">
        <v>0.1</v>
      </c>
      <c r="S407" s="18">
        <v>24431.46</v>
      </c>
      <c r="T407" s="18">
        <v>18202.36</v>
      </c>
      <c r="U407" s="18">
        <v>6229.1</v>
      </c>
      <c r="V407" s="16" t="s">
        <v>43</v>
      </c>
      <c r="W407" s="16" t="s">
        <v>44</v>
      </c>
      <c r="X407" s="18">
        <f>IF(OR(O407="",P407="",R407=""),"",O407*P407*(1-R407))</f>
        <v>24431.46</v>
      </c>
      <c r="Y407" s="18">
        <f>IF(OR(X407="",T407=""),"",X407-T407)</f>
        <v>6229.1</v>
      </c>
      <c r="Z407" s="19">
        <f>IFERROR(Y407/X407,"")</f>
        <v>0.255</v>
      </c>
      <c r="AA407" s="16">
        <f>IF(OR(C407="",D407=""),"",D407-C407)</f>
        <v>1</v>
      </c>
      <c r="AB407" s="16">
        <f>IF(C407="","",MONTH(C407))</f>
        <v>9</v>
      </c>
      <c r="AC407" s="16">
        <f>IF(C407="","",YEAR(C407))</f>
        <v>2024</v>
      </c>
      <c r="AD407" s="16" t="s">
        <v>86</v>
      </c>
      <c r="AE407" s="16" t="s">
        <v>46</v>
      </c>
      <c r="AF407" s="16" t="s">
        <v>442</v>
      </c>
    </row>
    <row r="408" spans="1:32" s="15" customFormat="1" x14ac:dyDescent="0.25">
      <c r="A408" s="16">
        <v>408</v>
      </c>
      <c r="B408" s="16" t="s">
        <v>1378</v>
      </c>
      <c r="C408" s="17">
        <v>45712.77083333333</v>
      </c>
      <c r="D408" s="17">
        <v>45712.77083333333</v>
      </c>
      <c r="E408" s="16" t="s">
        <v>1379</v>
      </c>
      <c r="F408" s="16" t="s">
        <v>294</v>
      </c>
      <c r="G408" s="16" t="s">
        <v>51</v>
      </c>
      <c r="H408" s="16" t="s">
        <v>80</v>
      </c>
      <c r="I408" s="16" t="s">
        <v>216</v>
      </c>
      <c r="J408" s="16" t="s">
        <v>217</v>
      </c>
      <c r="K408" s="16" t="s">
        <v>55</v>
      </c>
      <c r="L408" s="16" t="s">
        <v>74</v>
      </c>
      <c r="M408" s="16" t="s">
        <v>1380</v>
      </c>
      <c r="N408" s="16" t="s">
        <v>76</v>
      </c>
      <c r="O408" s="16">
        <v>2</v>
      </c>
      <c r="P408" s="18">
        <v>3924.2</v>
      </c>
      <c r="Q408" s="19">
        <v>0.25</v>
      </c>
      <c r="R408" s="19">
        <v>0.25</v>
      </c>
      <c r="S408" s="18">
        <v>5886.3</v>
      </c>
      <c r="T408" s="18">
        <v>3621.76</v>
      </c>
      <c r="U408" s="18">
        <v>2264.54</v>
      </c>
      <c r="V408" s="16" t="s">
        <v>131</v>
      </c>
      <c r="W408" s="16" t="s">
        <v>122</v>
      </c>
      <c r="X408" s="18">
        <f>IF(OR(O408="",P408="",R408=""),"",O408*P408*(1-R408))</f>
        <v>5886.3</v>
      </c>
      <c r="Y408" s="18">
        <f>IF(OR(X408="",T408=""),"",X408-T408)</f>
        <v>2264.54</v>
      </c>
      <c r="Z408" s="19">
        <f>IFERROR(Y408/X408,"")</f>
        <v>0.3847</v>
      </c>
      <c r="AA408" s="16">
        <f>IF(OR(C408="",D408=""),"",D408-C408)</f>
        <v>0</v>
      </c>
      <c r="AB408" s="16">
        <f>IF(C408="","",MONTH(C408))</f>
        <v>2</v>
      </c>
      <c r="AC408" s="16">
        <f>IF(C408="","",YEAR(C408))</f>
        <v>2025</v>
      </c>
      <c r="AD408" s="16" t="s">
        <v>86</v>
      </c>
      <c r="AE408" s="16" t="s">
        <v>66</v>
      </c>
      <c r="AF408" s="16" t="s">
        <v>132</v>
      </c>
    </row>
    <row r="409" spans="1:32" x14ac:dyDescent="0.25">
      <c r="A409" s="1">
        <v>409</v>
      </c>
      <c r="B409" s="1" t="s">
        <v>1381</v>
      </c>
      <c r="C409" s="2">
        <v>45423.77083333333</v>
      </c>
      <c r="D409" s="2">
        <v>45424.77083333333</v>
      </c>
      <c r="E409" s="1" t="s">
        <v>1382</v>
      </c>
      <c r="F409" s="1" t="s">
        <v>139</v>
      </c>
      <c r="G409" s="1" t="s">
        <v>109</v>
      </c>
      <c r="H409" s="1" t="s">
        <v>80</v>
      </c>
      <c r="I409" s="1" t="s">
        <v>216</v>
      </c>
      <c r="J409" s="1" t="s">
        <v>217</v>
      </c>
      <c r="K409" s="1" t="s">
        <v>39</v>
      </c>
      <c r="L409" s="1" t="s">
        <v>110</v>
      </c>
      <c r="M409" s="1" t="s">
        <v>1383</v>
      </c>
      <c r="N409" s="1" t="s">
        <v>42</v>
      </c>
      <c r="O409" s="1">
        <v>3</v>
      </c>
      <c r="P409" s="3">
        <v>2644.55</v>
      </c>
      <c r="Q409" s="4">
        <v>0</v>
      </c>
      <c r="R409" s="4">
        <v>0</v>
      </c>
      <c r="S409" s="3">
        <v>7933.65</v>
      </c>
      <c r="T409" s="3">
        <v>5698.42</v>
      </c>
      <c r="U409" s="3">
        <v>2235.23</v>
      </c>
      <c r="V409" s="1" t="s">
        <v>43</v>
      </c>
      <c r="W409" s="1" t="s">
        <v>44</v>
      </c>
      <c r="X409" s="3">
        <f>IF(OR(O409="",P409="",R409=""),"",O409*P409*(1-R409))</f>
        <v>7933.65</v>
      </c>
      <c r="Y409" s="3">
        <f>IF(OR(X409="",T409=""),"",X409-T409)</f>
        <v>2235.23</v>
      </c>
      <c r="Z409" s="4">
        <f>IFERROR(Y409/X409,"")</f>
        <v>0.2817</v>
      </c>
      <c r="AA409" s="1">
        <f>IF(OR(C409="",D409=""),"",D409-C409)</f>
        <v>1</v>
      </c>
      <c r="AB409" s="1">
        <f>IF(C409="","",MONTH(C409))</f>
        <v>5</v>
      </c>
      <c r="AC409" s="1">
        <f>IF(C409="","",YEAR(C409))</f>
        <v>2024</v>
      </c>
      <c r="AD409" s="1" t="s">
        <v>45</v>
      </c>
      <c r="AE409" s="1" t="s">
        <v>46</v>
      </c>
      <c r="AF409" s="1" t="s">
        <v>47</v>
      </c>
    </row>
    <row r="410" spans="1:32" s="15" customFormat="1" x14ac:dyDescent="0.25">
      <c r="A410" s="16">
        <v>410</v>
      </c>
      <c r="B410" s="16" t="s">
        <v>1384</v>
      </c>
      <c r="C410" s="17">
        <v>45869.77083333333</v>
      </c>
      <c r="D410" s="17">
        <v>45871.77083333333</v>
      </c>
      <c r="E410" s="16" t="s">
        <v>1385</v>
      </c>
      <c r="F410" s="16" t="s">
        <v>153</v>
      </c>
      <c r="G410" s="16" t="s">
        <v>35</v>
      </c>
      <c r="H410" s="16" t="s">
        <v>80</v>
      </c>
      <c r="I410" s="16" t="s">
        <v>81</v>
      </c>
      <c r="J410" s="16" t="s">
        <v>82</v>
      </c>
      <c r="K410" s="16" t="s">
        <v>55</v>
      </c>
      <c r="L410" s="16" t="s">
        <v>83</v>
      </c>
      <c r="M410" s="16" t="s">
        <v>1386</v>
      </c>
      <c r="N410" s="16" t="s">
        <v>64</v>
      </c>
      <c r="O410" s="16">
        <v>4</v>
      </c>
      <c r="P410" s="18">
        <v>1773.46</v>
      </c>
      <c r="Q410" s="19">
        <v>0</v>
      </c>
      <c r="R410" s="19">
        <v>0</v>
      </c>
      <c r="S410" s="18">
        <v>7093.84</v>
      </c>
      <c r="T410" s="18">
        <v>4587.49</v>
      </c>
      <c r="U410" s="18">
        <v>2506.35</v>
      </c>
      <c r="V410" s="16" t="s">
        <v>178</v>
      </c>
      <c r="W410" s="16" t="s">
        <v>122</v>
      </c>
      <c r="X410" s="18">
        <f>IF(OR(O410="",P410="",R410=""),"",O410*P410*(1-R410))</f>
        <v>7093.84</v>
      </c>
      <c r="Y410" s="18">
        <f>IF(OR(X410="",T410=""),"",X410-T410)</f>
        <v>2506.35</v>
      </c>
      <c r="Z410" s="19">
        <f>IFERROR(Y410/X410,"")</f>
        <v>0.3533</v>
      </c>
      <c r="AA410" s="16">
        <f>IF(OR(C410="",D410=""),"",D410-C410)</f>
        <v>2</v>
      </c>
      <c r="AB410" s="16">
        <f>IF(C410="","",MONTH(C410))</f>
        <v>8</v>
      </c>
      <c r="AC410" s="16">
        <f>IF(C410="","",YEAR(C410))</f>
        <v>2025</v>
      </c>
      <c r="AD410" s="16" t="s">
        <v>86</v>
      </c>
      <c r="AE410" s="16" t="s">
        <v>66</v>
      </c>
      <c r="AF410" s="16" t="s">
        <v>179</v>
      </c>
    </row>
    <row r="411" spans="1:32" s="15" customFormat="1" x14ac:dyDescent="0.25">
      <c r="A411" s="16">
        <v>411</v>
      </c>
      <c r="B411" s="16" t="s">
        <v>1387</v>
      </c>
      <c r="C411" s="17">
        <v>45700.77083333333</v>
      </c>
      <c r="D411" s="17">
        <v>45702.77083333333</v>
      </c>
      <c r="E411" s="16" t="s">
        <v>1388</v>
      </c>
      <c r="F411" s="16" t="s">
        <v>34</v>
      </c>
      <c r="G411" s="16" t="s">
        <v>35</v>
      </c>
      <c r="H411" s="16" t="s">
        <v>52</v>
      </c>
      <c r="I411" s="16" t="s">
        <v>191</v>
      </c>
      <c r="J411" s="16" t="s">
        <v>192</v>
      </c>
      <c r="K411" s="16" t="s">
        <v>93</v>
      </c>
      <c r="L411" s="16" t="s">
        <v>94</v>
      </c>
      <c r="M411" s="16" t="s">
        <v>1389</v>
      </c>
      <c r="N411" s="16" t="s">
        <v>58</v>
      </c>
      <c r="O411" s="16">
        <v>1</v>
      </c>
      <c r="P411" s="18">
        <v>3025.46</v>
      </c>
      <c r="Q411" s="19">
        <v>0.25</v>
      </c>
      <c r="R411" s="19">
        <v>0.25</v>
      </c>
      <c r="S411" s="18">
        <v>2269.1</v>
      </c>
      <c r="T411" s="18">
        <v>1593.59</v>
      </c>
      <c r="U411" s="18">
        <v>675.51</v>
      </c>
      <c r="V411" s="16" t="s">
        <v>121</v>
      </c>
      <c r="W411" s="16" t="s">
        <v>122</v>
      </c>
      <c r="X411" s="18">
        <f>IF(OR(O411="",P411="",R411=""),"",O411*P411*(1-R411))</f>
        <v>2269.1</v>
      </c>
      <c r="Y411" s="18">
        <f>IF(OR(X411="",T411=""),"",X411-T411)</f>
        <v>675.51</v>
      </c>
      <c r="Z411" s="19">
        <f>IFERROR(Y411/X411,"")</f>
        <v>0.2977</v>
      </c>
      <c r="AA411" s="16">
        <f>IF(OR(C411="",D411=""),"",D411-C411)</f>
        <v>2</v>
      </c>
      <c r="AB411" s="16">
        <f>IF(C411="","",MONTH(C411))</f>
        <v>2</v>
      </c>
      <c r="AC411" s="16">
        <f>IF(C411="","",YEAR(C411))</f>
        <v>2025</v>
      </c>
      <c r="AD411" s="16" t="s">
        <v>86</v>
      </c>
      <c r="AE411" s="16" t="s">
        <v>66</v>
      </c>
      <c r="AF411" s="16" t="s">
        <v>123</v>
      </c>
    </row>
    <row r="412" spans="1:32" x14ac:dyDescent="0.25">
      <c r="A412" s="1">
        <v>412</v>
      </c>
      <c r="B412" s="1" t="s">
        <v>1390</v>
      </c>
      <c r="C412" s="2">
        <v>45393.77083333333</v>
      </c>
      <c r="D412" s="2">
        <v>45401.77083333333</v>
      </c>
      <c r="E412" s="1" t="s">
        <v>1391</v>
      </c>
      <c r="F412" s="1" t="s">
        <v>186</v>
      </c>
      <c r="G412" s="1" t="s">
        <v>35</v>
      </c>
      <c r="H412" s="1" t="s">
        <v>80</v>
      </c>
      <c r="I412" s="1" t="s">
        <v>216</v>
      </c>
      <c r="J412" s="1" t="s">
        <v>217</v>
      </c>
      <c r="K412" s="1" t="s">
        <v>55</v>
      </c>
      <c r="L412" s="1" t="s">
        <v>56</v>
      </c>
      <c r="M412" s="1" t="s">
        <v>1392</v>
      </c>
      <c r="N412" s="1" t="s">
        <v>64</v>
      </c>
      <c r="O412" s="1">
        <v>9</v>
      </c>
      <c r="P412" s="3">
        <v>1302.61</v>
      </c>
      <c r="Q412" s="4">
        <v>0.2</v>
      </c>
      <c r="R412" s="4">
        <v>0.2</v>
      </c>
      <c r="S412" s="3">
        <v>9378.79</v>
      </c>
      <c r="T412" s="3">
        <v>6774.48</v>
      </c>
      <c r="U412" s="3">
        <v>2604.31</v>
      </c>
      <c r="V412" s="1" t="s">
        <v>43</v>
      </c>
      <c r="W412" s="1" t="s">
        <v>44</v>
      </c>
      <c r="X412" s="3">
        <f>IF(OR(O412="",P412="",R412=""),"",O412*P412*(1-R412))</f>
        <v>9378.79</v>
      </c>
      <c r="Y412" s="3">
        <f>IF(OR(X412="",T412=""),"",X412-T412)</f>
        <v>2604.31</v>
      </c>
      <c r="Z412" s="4">
        <f>IFERROR(Y412/X412,"")</f>
        <v>0.2777</v>
      </c>
      <c r="AA412" s="1">
        <f>IF(OR(C412="",D412=""),"",D412-C412)</f>
        <v>8</v>
      </c>
      <c r="AB412" s="1">
        <f>IF(C412="","",MONTH(C412))</f>
        <v>4</v>
      </c>
      <c r="AC412" s="1">
        <f>IF(C412="","",YEAR(C412))</f>
        <v>2024</v>
      </c>
      <c r="AD412" s="1" t="s">
        <v>45</v>
      </c>
      <c r="AE412" s="1" t="s">
        <v>46</v>
      </c>
      <c r="AF412" s="1" t="s">
        <v>47</v>
      </c>
    </row>
    <row r="413" spans="1:32" s="15" customFormat="1" x14ac:dyDescent="0.25">
      <c r="A413" s="16">
        <v>413</v>
      </c>
      <c r="B413" s="16" t="s">
        <v>1393</v>
      </c>
      <c r="C413" s="17">
        <v>45891.77083333333</v>
      </c>
      <c r="D413" s="17">
        <v>45896.77083333333</v>
      </c>
      <c r="E413" s="16" t="s">
        <v>1394</v>
      </c>
      <c r="F413" s="16" t="s">
        <v>70</v>
      </c>
      <c r="G413" s="16" t="s">
        <v>114</v>
      </c>
      <c r="H413" s="16" t="s">
        <v>80</v>
      </c>
      <c r="I413" s="16" t="s">
        <v>37</v>
      </c>
      <c r="J413" s="16" t="s">
        <v>129</v>
      </c>
      <c r="K413" s="16" t="s">
        <v>55</v>
      </c>
      <c r="L413" s="16" t="s">
        <v>56</v>
      </c>
      <c r="M413" s="16" t="s">
        <v>1395</v>
      </c>
      <c r="N413" s="16" t="s">
        <v>64</v>
      </c>
      <c r="O413" s="16">
        <v>1</v>
      </c>
      <c r="P413" s="18">
        <v>4167.81</v>
      </c>
      <c r="Q413" s="19">
        <v>0.2</v>
      </c>
      <c r="R413" s="19">
        <v>0.2</v>
      </c>
      <c r="S413" s="18">
        <v>3334.25</v>
      </c>
      <c r="T413" s="18">
        <v>2768.77</v>
      </c>
      <c r="U413" s="18">
        <v>565.48</v>
      </c>
      <c r="V413" s="16" t="s">
        <v>178</v>
      </c>
      <c r="W413" s="16" t="s">
        <v>122</v>
      </c>
      <c r="X413" s="18">
        <f>IF(OR(O413="",P413="",R413=""),"",O413*P413*(1-R413))</f>
        <v>3334.25</v>
      </c>
      <c r="Y413" s="18">
        <f>IF(OR(X413="",T413=""),"",X413-T413)</f>
        <v>565.48</v>
      </c>
      <c r="Z413" s="19">
        <f>IFERROR(Y413/X413,"")</f>
        <v>0.1696</v>
      </c>
      <c r="AA413" s="16">
        <f>IF(OR(C413="",D413=""),"",D413-C413)</f>
        <v>5</v>
      </c>
      <c r="AB413" s="16">
        <f>IF(C413="","",MONTH(C413))</f>
        <v>8</v>
      </c>
      <c r="AC413" s="16">
        <f>IF(C413="","",YEAR(C413))</f>
        <v>2025</v>
      </c>
      <c r="AD413" s="16" t="s">
        <v>86</v>
      </c>
      <c r="AE413" s="16" t="s">
        <v>66</v>
      </c>
      <c r="AF413" s="16" t="s">
        <v>179</v>
      </c>
    </row>
    <row r="414" spans="1:32" x14ac:dyDescent="0.25">
      <c r="A414" s="1">
        <v>414</v>
      </c>
      <c r="B414" s="1" t="s">
        <v>1396</v>
      </c>
      <c r="C414" s="2">
        <v>45312.77083333333</v>
      </c>
      <c r="D414" s="2">
        <v>45320.77083333333</v>
      </c>
      <c r="E414" s="1" t="s">
        <v>1397</v>
      </c>
      <c r="F414" s="1" t="s">
        <v>61</v>
      </c>
      <c r="G414" s="1" t="s">
        <v>109</v>
      </c>
      <c r="H414" s="1" t="s">
        <v>71</v>
      </c>
      <c r="I414" s="1" t="s">
        <v>201</v>
      </c>
      <c r="J414" s="1" t="s">
        <v>202</v>
      </c>
      <c r="K414" s="1" t="s">
        <v>55</v>
      </c>
      <c r="L414" s="1" t="s">
        <v>83</v>
      </c>
      <c r="M414" s="1" t="s">
        <v>1398</v>
      </c>
      <c r="N414" s="1" t="s">
        <v>58</v>
      </c>
      <c r="O414" s="1">
        <v>1</v>
      </c>
      <c r="P414" s="3">
        <v>2111.39</v>
      </c>
      <c r="Q414" s="4">
        <v>0.25</v>
      </c>
      <c r="R414" s="4">
        <v>0.25</v>
      </c>
      <c r="S414" s="3">
        <v>1583.54</v>
      </c>
      <c r="T414" s="3">
        <v>1014.19</v>
      </c>
      <c r="U414" s="3">
        <v>569.35</v>
      </c>
      <c r="V414" s="1" t="s">
        <v>43</v>
      </c>
      <c r="W414" s="1" t="s">
        <v>44</v>
      </c>
      <c r="X414" s="3">
        <f>IF(OR(O414="",P414="",R414=""),"",O414*P414*(1-R414))</f>
        <v>1583.54</v>
      </c>
      <c r="Y414" s="3">
        <f>IF(OR(X414="",T414=""),"",X414-T414)</f>
        <v>569.35</v>
      </c>
      <c r="Z414" s="4">
        <f>IFERROR(Y414/X414,"")</f>
        <v>0.3595</v>
      </c>
      <c r="AA414" s="1">
        <f>IF(OR(C414="",D414=""),"",D414-C414)</f>
        <v>8</v>
      </c>
      <c r="AB414" s="1">
        <f>IF(C414="","",MONTH(C414))</f>
        <v>1</v>
      </c>
      <c r="AC414" s="1">
        <f>IF(C414="","",YEAR(C414))</f>
        <v>2024</v>
      </c>
      <c r="AD414" s="1" t="s">
        <v>45</v>
      </c>
      <c r="AE414" s="1" t="s">
        <v>46</v>
      </c>
      <c r="AF414" s="1" t="s">
        <v>47</v>
      </c>
    </row>
    <row r="415" spans="1:32" s="15" customFormat="1" x14ac:dyDescent="0.25">
      <c r="A415" s="16">
        <v>415</v>
      </c>
      <c r="B415" s="16" t="s">
        <v>1399</v>
      </c>
      <c r="C415" s="17">
        <v>45881.77083333333</v>
      </c>
      <c r="D415" s="17">
        <v>45885.77083333333</v>
      </c>
      <c r="E415" s="16" t="s">
        <v>1400</v>
      </c>
      <c r="F415" s="16" t="s">
        <v>98</v>
      </c>
      <c r="G415" s="16" t="s">
        <v>114</v>
      </c>
      <c r="H415" s="16" t="s">
        <v>80</v>
      </c>
      <c r="I415" s="16" t="s">
        <v>91</v>
      </c>
      <c r="J415" s="16" t="s">
        <v>92</v>
      </c>
      <c r="K415" s="16" t="s">
        <v>93</v>
      </c>
      <c r="L415" s="16" t="s">
        <v>94</v>
      </c>
      <c r="M415" s="16" t="s">
        <v>1401</v>
      </c>
      <c r="N415" s="16" t="s">
        <v>42</v>
      </c>
      <c r="O415" s="16">
        <v>8</v>
      </c>
      <c r="P415" s="18">
        <v>1918.23</v>
      </c>
      <c r="Q415" s="19">
        <v>0</v>
      </c>
      <c r="R415" s="19">
        <v>0</v>
      </c>
      <c r="S415" s="18">
        <v>15345.84</v>
      </c>
      <c r="T415" s="18">
        <v>10735.33</v>
      </c>
      <c r="U415" s="18">
        <v>4610.51</v>
      </c>
      <c r="V415" s="16" t="s">
        <v>131</v>
      </c>
      <c r="W415" s="16" t="s">
        <v>85</v>
      </c>
      <c r="X415" s="18">
        <f>IF(OR(O415="",P415="",R415=""),"",O415*P415*(1-R415))</f>
        <v>15345.84</v>
      </c>
      <c r="Y415" s="18">
        <f>IF(OR(X415="",T415=""),"",X415-T415)</f>
        <v>4610.51</v>
      </c>
      <c r="Z415" s="19">
        <f>IFERROR(Y415/X415,"")</f>
        <v>0.3004</v>
      </c>
      <c r="AA415" s="16">
        <f>IF(OR(C415="",D415=""),"",D415-C415)</f>
        <v>4</v>
      </c>
      <c r="AB415" s="16">
        <f>IF(C415="","",MONTH(C415))</f>
        <v>8</v>
      </c>
      <c r="AC415" s="16">
        <f>IF(C415="","",YEAR(C415))</f>
        <v>2025</v>
      </c>
      <c r="AD415" s="16" t="s">
        <v>86</v>
      </c>
      <c r="AE415" s="16" t="s">
        <v>66</v>
      </c>
      <c r="AF415" s="16" t="s">
        <v>255</v>
      </c>
    </row>
    <row r="416" spans="1:32" x14ac:dyDescent="0.25">
      <c r="A416" s="1">
        <v>416</v>
      </c>
      <c r="B416" s="1" t="s">
        <v>1402</v>
      </c>
      <c r="C416" s="2">
        <v>45532.77083333333</v>
      </c>
      <c r="D416" s="2">
        <v>45533.77083333333</v>
      </c>
      <c r="E416" s="1" t="s">
        <v>1403</v>
      </c>
      <c r="F416" s="1" t="s">
        <v>70</v>
      </c>
      <c r="G416" s="1" t="s">
        <v>114</v>
      </c>
      <c r="H416" s="1" t="s">
        <v>52</v>
      </c>
      <c r="I416" s="1" t="s">
        <v>191</v>
      </c>
      <c r="J416" s="1" t="s">
        <v>192</v>
      </c>
      <c r="K416" s="1" t="s">
        <v>39</v>
      </c>
      <c r="L416" s="1" t="s">
        <v>145</v>
      </c>
      <c r="M416" s="1" t="s">
        <v>1404</v>
      </c>
      <c r="N416" s="1" t="s">
        <v>64</v>
      </c>
      <c r="O416" s="1">
        <v>4</v>
      </c>
      <c r="P416" s="3">
        <v>2484.08</v>
      </c>
      <c r="Q416" s="4">
        <v>0.05</v>
      </c>
      <c r="R416" s="4">
        <v>0.05</v>
      </c>
      <c r="S416" s="3">
        <v>9439.5</v>
      </c>
      <c r="T416" s="3">
        <v>5519.39</v>
      </c>
      <c r="U416" s="3">
        <v>3920.11</v>
      </c>
      <c r="V416" s="1" t="s">
        <v>43</v>
      </c>
      <c r="W416" s="1" t="s">
        <v>44</v>
      </c>
      <c r="X416" s="3">
        <f>IF(OR(O416="",P416="",R416=""),"",O416*P416*(1-R416))</f>
        <v>9439.5</v>
      </c>
      <c r="Y416" s="3">
        <f>IF(OR(X416="",T416=""),"",X416-T416)</f>
        <v>3920.11</v>
      </c>
      <c r="Z416" s="4">
        <f>IFERROR(Y416/X416,"")</f>
        <v>0.4153</v>
      </c>
      <c r="AA416" s="1">
        <f>IF(OR(C416="",D416=""),"",D416-C416)</f>
        <v>1</v>
      </c>
      <c r="AB416" s="1">
        <f>IF(C416="","",MONTH(C416))</f>
        <v>8</v>
      </c>
      <c r="AC416" s="1">
        <f>IF(C416="","",YEAR(C416))</f>
        <v>2024</v>
      </c>
      <c r="AD416" s="1" t="s">
        <v>45</v>
      </c>
      <c r="AE416" s="1" t="s">
        <v>46</v>
      </c>
      <c r="AF416" s="1" t="s">
        <v>47</v>
      </c>
    </row>
    <row r="417" spans="1:32" s="15" customFormat="1" x14ac:dyDescent="0.25">
      <c r="A417" s="16">
        <v>417</v>
      </c>
      <c r="B417" s="16" t="s">
        <v>1405</v>
      </c>
      <c r="C417" s="17">
        <v>45315.77083333333</v>
      </c>
      <c r="D417" s="17">
        <v>45317.77083333333</v>
      </c>
      <c r="E417" s="16" t="s">
        <v>1406</v>
      </c>
      <c r="F417" s="16" t="s">
        <v>149</v>
      </c>
      <c r="G417" s="16" t="s">
        <v>109</v>
      </c>
      <c r="H417" s="16" t="s">
        <v>71</v>
      </c>
      <c r="I417" s="16" t="s">
        <v>201</v>
      </c>
      <c r="J417" s="16" t="s">
        <v>202</v>
      </c>
      <c r="K417" s="16" t="s">
        <v>39</v>
      </c>
      <c r="L417" s="16" t="s">
        <v>145</v>
      </c>
      <c r="M417" s="16" t="s">
        <v>1407</v>
      </c>
      <c r="N417" s="16" t="s">
        <v>58</v>
      </c>
      <c r="O417" s="16">
        <v>7</v>
      </c>
      <c r="P417" s="18">
        <v>1727.26</v>
      </c>
      <c r="Q417" s="19">
        <v>0.15</v>
      </c>
      <c r="R417" s="19">
        <v>0.15</v>
      </c>
      <c r="S417" s="18">
        <v>10277.2</v>
      </c>
      <c r="T417" s="18">
        <v>7906.5</v>
      </c>
      <c r="U417" s="18">
        <v>2370.7</v>
      </c>
      <c r="V417" s="16" t="s">
        <v>43</v>
      </c>
      <c r="W417" s="16" t="s">
        <v>122</v>
      </c>
      <c r="X417" s="18">
        <f>IF(OR(O417="",P417="",R417=""),"",O417*P417*(1-R417))</f>
        <v>10277.2</v>
      </c>
      <c r="Y417" s="18">
        <f>IF(OR(X417="",T417=""),"",X417-T417)</f>
        <v>2370.7</v>
      </c>
      <c r="Z417" s="19">
        <f>IFERROR(Y417/X417,"")</f>
        <v>0.2307</v>
      </c>
      <c r="AA417" s="16">
        <f>IF(OR(C417="",D417=""),"",D417-C417)</f>
        <v>2</v>
      </c>
      <c r="AB417" s="16">
        <f>IF(C417="","",MONTH(C417))</f>
        <v>1</v>
      </c>
      <c r="AC417" s="16">
        <f>IF(C417="","",YEAR(C417))</f>
        <v>2024</v>
      </c>
      <c r="AD417" s="16" t="s">
        <v>86</v>
      </c>
      <c r="AE417" s="16" t="s">
        <v>66</v>
      </c>
      <c r="AF417" s="16" t="s">
        <v>198</v>
      </c>
    </row>
    <row r="418" spans="1:32" x14ac:dyDescent="0.25">
      <c r="A418" s="1">
        <v>418</v>
      </c>
      <c r="B418" s="1" t="s">
        <v>1408</v>
      </c>
      <c r="C418" s="2">
        <v>45664.77083333333</v>
      </c>
      <c r="D418" s="2">
        <v>45672.77083333333</v>
      </c>
      <c r="E418" s="1" t="s">
        <v>1409</v>
      </c>
      <c r="F418" s="1" t="s">
        <v>98</v>
      </c>
      <c r="G418" s="1" t="s">
        <v>35</v>
      </c>
      <c r="H418" s="1" t="s">
        <v>71</v>
      </c>
      <c r="I418" s="1" t="s">
        <v>72</v>
      </c>
      <c r="J418" s="1" t="s">
        <v>73</v>
      </c>
      <c r="K418" s="1" t="s">
        <v>55</v>
      </c>
      <c r="L418" s="1" t="s">
        <v>74</v>
      </c>
      <c r="M418" s="1" t="s">
        <v>1410</v>
      </c>
      <c r="N418" s="1" t="s">
        <v>64</v>
      </c>
      <c r="O418" s="1">
        <v>8</v>
      </c>
      <c r="P418" s="3">
        <v>638.95</v>
      </c>
      <c r="Q418" s="4">
        <v>0.25</v>
      </c>
      <c r="R418" s="4">
        <v>0.25</v>
      </c>
      <c r="S418" s="3">
        <v>3833.7</v>
      </c>
      <c r="T418" s="3">
        <v>2886.35</v>
      </c>
      <c r="U418" s="3">
        <v>947.35</v>
      </c>
      <c r="V418" s="1" t="s">
        <v>43</v>
      </c>
      <c r="W418" s="1" t="s">
        <v>44</v>
      </c>
      <c r="X418" s="3">
        <f>IF(OR(O418="",P418="",R418=""),"",O418*P418*(1-R418))</f>
        <v>3833.7</v>
      </c>
      <c r="Y418" s="3">
        <f>IF(OR(X418="",T418=""),"",X418-T418)</f>
        <v>947.35</v>
      </c>
      <c r="Z418" s="4">
        <f>IFERROR(Y418/X418,"")</f>
        <v>0.2471</v>
      </c>
      <c r="AA418" s="1">
        <f>IF(OR(C418="",D418=""),"",D418-C418)</f>
        <v>8</v>
      </c>
      <c r="AB418" s="1">
        <f>IF(C418="","",MONTH(C418))</f>
        <v>1</v>
      </c>
      <c r="AC418" s="1">
        <f>IF(C418="","",YEAR(C418))</f>
        <v>2025</v>
      </c>
      <c r="AD418" s="1" t="s">
        <v>45</v>
      </c>
      <c r="AE418" s="1" t="s">
        <v>46</v>
      </c>
      <c r="AF418" s="1" t="s">
        <v>47</v>
      </c>
    </row>
    <row r="419" spans="1:32" x14ac:dyDescent="0.25">
      <c r="A419" s="1">
        <v>419</v>
      </c>
      <c r="B419" s="1" t="s">
        <v>1411</v>
      </c>
      <c r="C419" s="2">
        <v>45685.77083333333</v>
      </c>
      <c r="D419" s="2">
        <v>45692.77083333333</v>
      </c>
      <c r="E419" s="1" t="s">
        <v>1412</v>
      </c>
      <c r="F419" s="1" t="s">
        <v>50</v>
      </c>
      <c r="G419" s="1" t="s">
        <v>35</v>
      </c>
      <c r="H419" s="1" t="s">
        <v>80</v>
      </c>
      <c r="I419" s="1" t="s">
        <v>206</v>
      </c>
      <c r="J419" s="1" t="s">
        <v>207</v>
      </c>
      <c r="K419" s="1" t="s">
        <v>39</v>
      </c>
      <c r="L419" s="1" t="s">
        <v>62</v>
      </c>
      <c r="M419" s="1" t="s">
        <v>1413</v>
      </c>
      <c r="N419" s="1" t="s">
        <v>64</v>
      </c>
      <c r="O419" s="1">
        <v>6</v>
      </c>
      <c r="P419" s="3">
        <v>3863</v>
      </c>
      <c r="Q419" s="4">
        <v>0.2</v>
      </c>
      <c r="R419" s="4">
        <v>0.2</v>
      </c>
      <c r="S419" s="3">
        <v>18542.4</v>
      </c>
      <c r="T419" s="3">
        <v>11193.75</v>
      </c>
      <c r="U419" s="3">
        <v>7348.65</v>
      </c>
      <c r="V419" s="1" t="s">
        <v>43</v>
      </c>
      <c r="W419" s="1" t="s">
        <v>44</v>
      </c>
      <c r="X419" s="3">
        <f>IF(OR(O419="",P419="",R419=""),"",O419*P419*(1-R419))</f>
        <v>18542.4</v>
      </c>
      <c r="Y419" s="3">
        <f>IF(OR(X419="",T419=""),"",X419-T419)</f>
        <v>7348.65</v>
      </c>
      <c r="Z419" s="4">
        <f>IFERROR(Y419/X419,"")</f>
        <v>0.3963</v>
      </c>
      <c r="AA419" s="1">
        <f>IF(OR(C419="",D419=""),"",D419-C419)</f>
        <v>7</v>
      </c>
      <c r="AB419" s="1">
        <f>IF(C419="","",MONTH(C419))</f>
        <v>1</v>
      </c>
      <c r="AC419" s="1">
        <f>IF(C419="","",YEAR(C419))</f>
        <v>2025</v>
      </c>
      <c r="AD419" s="1" t="s">
        <v>45</v>
      </c>
      <c r="AE419" s="1" t="s">
        <v>46</v>
      </c>
      <c r="AF419" s="1" t="s">
        <v>47</v>
      </c>
    </row>
    <row r="420" spans="1:32" s="15" customFormat="1" x14ac:dyDescent="0.25">
      <c r="A420" s="16">
        <v>420</v>
      </c>
      <c r="B420" s="16" t="s">
        <v>1414</v>
      </c>
      <c r="C420" s="17">
        <v>45604.77083333333</v>
      </c>
      <c r="D420" s="17">
        <v>45612.77083333333</v>
      </c>
      <c r="E420" s="16" t="s">
        <v>1415</v>
      </c>
      <c r="F420" s="16" t="s">
        <v>153</v>
      </c>
      <c r="G420" s="16" t="s">
        <v>109</v>
      </c>
      <c r="H420" s="16" t="s">
        <v>52</v>
      </c>
      <c r="I420" s="16" t="s">
        <v>53</v>
      </c>
      <c r="J420" s="16" t="s">
        <v>54</v>
      </c>
      <c r="K420" s="16" t="s">
        <v>93</v>
      </c>
      <c r="L420" s="16" t="s">
        <v>99</v>
      </c>
      <c r="M420" s="16" t="s">
        <v>1416</v>
      </c>
      <c r="N420" s="16" t="s">
        <v>76</v>
      </c>
      <c r="O420" s="16">
        <v>6</v>
      </c>
      <c r="P420" s="18">
        <v>3660.4</v>
      </c>
      <c r="Q420" s="19">
        <v>0</v>
      </c>
      <c r="R420" s="19">
        <v>0</v>
      </c>
      <c r="S420" s="18">
        <v>21962.4</v>
      </c>
      <c r="T420" s="18">
        <v>15331.99</v>
      </c>
      <c r="U420" s="18">
        <v>6630.41</v>
      </c>
      <c r="V420" s="16" t="s">
        <v>178</v>
      </c>
      <c r="W420" s="16" t="s">
        <v>85</v>
      </c>
      <c r="X420" s="18">
        <f>IF(OR(O420="",P420="",R420=""),"",O420*P420*(1-R420))</f>
        <v>21962.4</v>
      </c>
      <c r="Y420" s="18">
        <f>IF(OR(X420="",T420=""),"",X420-T420)</f>
        <v>6630.41</v>
      </c>
      <c r="Z420" s="19">
        <f>IFERROR(Y420/X420,"")</f>
        <v>0.3019</v>
      </c>
      <c r="AA420" s="16">
        <f>IF(OR(C420="",D420=""),"",D420-C420)</f>
        <v>8</v>
      </c>
      <c r="AB420" s="16">
        <f>IF(C420="","",MONTH(C420))</f>
        <v>11</v>
      </c>
      <c r="AC420" s="16">
        <f>IF(C420="","",YEAR(C420))</f>
        <v>2024</v>
      </c>
      <c r="AD420" s="16" t="s">
        <v>86</v>
      </c>
      <c r="AE420" s="16" t="s">
        <v>66</v>
      </c>
      <c r="AF420" s="16" t="s">
        <v>296</v>
      </c>
    </row>
    <row r="421" spans="1:32" x14ac:dyDescent="0.25">
      <c r="A421" s="1">
        <v>421</v>
      </c>
      <c r="B421" s="1" t="s">
        <v>1417</v>
      </c>
      <c r="C421" s="2">
        <v>45925.77083333333</v>
      </c>
      <c r="D421" s="2">
        <v>45929.77083333333</v>
      </c>
      <c r="E421" s="1" t="s">
        <v>1418</v>
      </c>
      <c r="F421" s="1" t="s">
        <v>153</v>
      </c>
      <c r="G421" s="1" t="s">
        <v>114</v>
      </c>
      <c r="H421" s="1" t="s">
        <v>36</v>
      </c>
      <c r="I421" s="1" t="s">
        <v>266</v>
      </c>
      <c r="J421" s="1" t="s">
        <v>267</v>
      </c>
      <c r="K421" s="1" t="s">
        <v>93</v>
      </c>
      <c r="L421" s="1" t="s">
        <v>196</v>
      </c>
      <c r="M421" s="1" t="s">
        <v>1419</v>
      </c>
      <c r="N421" s="1" t="s">
        <v>58</v>
      </c>
      <c r="O421" s="1">
        <v>2</v>
      </c>
      <c r="P421" s="3">
        <v>688.83</v>
      </c>
      <c r="Q421" s="4">
        <v>0.05</v>
      </c>
      <c r="R421" s="4">
        <v>0.05</v>
      </c>
      <c r="S421" s="3">
        <v>1308.78</v>
      </c>
      <c r="T421" s="3">
        <v>843</v>
      </c>
      <c r="U421" s="3">
        <v>465.78</v>
      </c>
      <c r="V421" s="1" t="s">
        <v>43</v>
      </c>
      <c r="W421" s="1" t="s">
        <v>44</v>
      </c>
      <c r="X421" s="3">
        <f>IF(OR(O421="",P421="",R421=""),"",O421*P421*(1-R421))</f>
        <v>1308.78</v>
      </c>
      <c r="Y421" s="3">
        <f>IF(OR(X421="",T421=""),"",X421-T421)</f>
        <v>465.78</v>
      </c>
      <c r="Z421" s="4">
        <f>IFERROR(Y421/X421,"")</f>
        <v>0.3559</v>
      </c>
      <c r="AA421" s="1">
        <f>IF(OR(C421="",D421=""),"",D421-C421)</f>
        <v>4</v>
      </c>
      <c r="AB421" s="1">
        <f>IF(C421="","",MONTH(C421))</f>
        <v>9</v>
      </c>
      <c r="AC421" s="1">
        <f>IF(C421="","",YEAR(C421))</f>
        <v>2025</v>
      </c>
      <c r="AD421" s="1" t="s">
        <v>45</v>
      </c>
      <c r="AE421" s="1" t="s">
        <v>46</v>
      </c>
      <c r="AF421" s="1" t="s">
        <v>47</v>
      </c>
    </row>
    <row r="422" spans="1:32" s="15" customFormat="1" x14ac:dyDescent="0.25">
      <c r="A422" s="16">
        <v>422</v>
      </c>
      <c r="B422" s="16" t="s">
        <v>1420</v>
      </c>
      <c r="C422" s="17">
        <v>45733.77083333333</v>
      </c>
      <c r="D422" s="17">
        <v>45734.77083333333</v>
      </c>
      <c r="E422" s="16" t="s">
        <v>1421</v>
      </c>
      <c r="F422" s="16" t="s">
        <v>61</v>
      </c>
      <c r="G422" s="16" t="s">
        <v>109</v>
      </c>
      <c r="H422" s="16" t="s">
        <v>71</v>
      </c>
      <c r="I422" s="16" t="s">
        <v>277</v>
      </c>
      <c r="J422" s="16" t="s">
        <v>278</v>
      </c>
      <c r="K422" s="16" t="s">
        <v>93</v>
      </c>
      <c r="L422" s="16" t="s">
        <v>305</v>
      </c>
      <c r="M422" s="16" t="s">
        <v>1422</v>
      </c>
      <c r="N422" s="16" t="s">
        <v>76</v>
      </c>
      <c r="O422" s="16">
        <v>2</v>
      </c>
      <c r="P422" s="18">
        <v>1209.99</v>
      </c>
      <c r="Q422" s="19">
        <v>0.25</v>
      </c>
      <c r="R422" s="19">
        <v>0.25</v>
      </c>
      <c r="S422" s="18">
        <v>1814.99</v>
      </c>
      <c r="T422" s="18">
        <v>1120.06</v>
      </c>
      <c r="U422" s="18">
        <v>694.93</v>
      </c>
      <c r="V422" s="16" t="s">
        <v>131</v>
      </c>
      <c r="W422" s="16" t="s">
        <v>85</v>
      </c>
      <c r="X422" s="18">
        <f>IF(OR(O422="",P422="",R422=""),"",O422*P422*(1-R422))</f>
        <v>1814.99</v>
      </c>
      <c r="Y422" s="18">
        <f>IF(OR(X422="",T422=""),"",X422-T422)</f>
        <v>694.93</v>
      </c>
      <c r="Z422" s="19">
        <f>IFERROR(Y422/X422,"")</f>
        <v>0.3829</v>
      </c>
      <c r="AA422" s="16">
        <f>IF(OR(C422="",D422=""),"",D422-C422)</f>
        <v>1</v>
      </c>
      <c r="AB422" s="16">
        <f>IF(C422="","",MONTH(C422))</f>
        <v>3</v>
      </c>
      <c r="AC422" s="16">
        <f>IF(C422="","",YEAR(C422))</f>
        <v>2025</v>
      </c>
      <c r="AD422" s="16" t="s">
        <v>86</v>
      </c>
      <c r="AE422" s="16" t="s">
        <v>66</v>
      </c>
      <c r="AF422" s="16" t="s">
        <v>255</v>
      </c>
    </row>
    <row r="423" spans="1:32" s="15" customFormat="1" x14ac:dyDescent="0.25">
      <c r="A423" s="16">
        <v>423</v>
      </c>
      <c r="B423" s="16" t="s">
        <v>1423</v>
      </c>
      <c r="C423" s="17">
        <v>45821.77083333333</v>
      </c>
      <c r="D423" s="17">
        <v>45826.77083333333</v>
      </c>
      <c r="E423" s="16" t="s">
        <v>1424</v>
      </c>
      <c r="F423" s="16" t="s">
        <v>163</v>
      </c>
      <c r="G423" s="16" t="s">
        <v>51</v>
      </c>
      <c r="H423" s="16" t="s">
        <v>36</v>
      </c>
      <c r="I423" s="16" t="s">
        <v>384</v>
      </c>
      <c r="J423" s="16" t="s">
        <v>385</v>
      </c>
      <c r="K423" s="16" t="s">
        <v>39</v>
      </c>
      <c r="L423" s="16" t="s">
        <v>176</v>
      </c>
      <c r="M423" s="16" t="s">
        <v>1425</v>
      </c>
      <c r="N423" s="16" t="s">
        <v>58</v>
      </c>
      <c r="O423" s="16">
        <v>3</v>
      </c>
      <c r="P423" s="18">
        <v>1037.45</v>
      </c>
      <c r="Q423" s="19">
        <v>0.2</v>
      </c>
      <c r="R423" s="19">
        <v>0.2</v>
      </c>
      <c r="S423" s="18">
        <v>2489.88</v>
      </c>
      <c r="T423" s="18">
        <v>1707.52</v>
      </c>
      <c r="U423" s="18">
        <v>782.36</v>
      </c>
      <c r="V423" s="16" t="s">
        <v>131</v>
      </c>
      <c r="W423" s="16" t="s">
        <v>122</v>
      </c>
      <c r="X423" s="18">
        <f>IF(OR(O423="",P423="",R423=""),"",O423*P423*(1-R423))</f>
        <v>2489.88</v>
      </c>
      <c r="Y423" s="18">
        <f>IF(OR(X423="",T423=""),"",X423-T423)</f>
        <v>782.36</v>
      </c>
      <c r="Z423" s="19">
        <f>IFERROR(Y423/X423,"")</f>
        <v>0.3142</v>
      </c>
      <c r="AA423" s="16">
        <f>IF(OR(C423="",D423=""),"",D423-C423)</f>
        <v>5</v>
      </c>
      <c r="AB423" s="16">
        <f>IF(C423="","",MONTH(C423))</f>
        <v>6</v>
      </c>
      <c r="AC423" s="16">
        <f>IF(C423="","",YEAR(C423))</f>
        <v>2025</v>
      </c>
      <c r="AD423" s="16" t="s">
        <v>86</v>
      </c>
      <c r="AE423" s="16" t="s">
        <v>66</v>
      </c>
      <c r="AF423" s="16" t="s">
        <v>132</v>
      </c>
    </row>
    <row r="424" spans="1:32" x14ac:dyDescent="0.25">
      <c r="A424" s="1">
        <v>424</v>
      </c>
      <c r="B424" s="1" t="s">
        <v>1426</v>
      </c>
      <c r="C424" s="2">
        <v>45902.77083333333</v>
      </c>
      <c r="D424" s="2">
        <v>45905.77083333333</v>
      </c>
      <c r="E424" s="1" t="s">
        <v>1427</v>
      </c>
      <c r="F424" s="1" t="s">
        <v>294</v>
      </c>
      <c r="G424" s="1" t="s">
        <v>35</v>
      </c>
      <c r="H424" s="1" t="s">
        <v>80</v>
      </c>
      <c r="I424" s="1" t="s">
        <v>91</v>
      </c>
      <c r="J424" s="1" t="s">
        <v>92</v>
      </c>
      <c r="K424" s="1" t="s">
        <v>93</v>
      </c>
      <c r="L424" s="1" t="s">
        <v>99</v>
      </c>
      <c r="M424" s="1" t="s">
        <v>1428</v>
      </c>
      <c r="N424" s="1" t="s">
        <v>58</v>
      </c>
      <c r="O424" s="1">
        <v>7</v>
      </c>
      <c r="P424" s="3">
        <v>688.85</v>
      </c>
      <c r="Q424" s="4">
        <v>0.15</v>
      </c>
      <c r="R424" s="4">
        <v>0.15</v>
      </c>
      <c r="S424" s="3">
        <v>4098.66</v>
      </c>
      <c r="T424" s="3">
        <v>2678.06</v>
      </c>
      <c r="U424" s="3">
        <v>1420.6</v>
      </c>
      <c r="V424" s="1" t="s">
        <v>43</v>
      </c>
      <c r="W424" s="1" t="s">
        <v>44</v>
      </c>
      <c r="X424" s="3">
        <f>IF(OR(O424="",P424="",R424=""),"",O424*P424*(1-R424))</f>
        <v>4098.66</v>
      </c>
      <c r="Y424" s="3">
        <f>IF(OR(X424="",T424=""),"",X424-T424)</f>
        <v>1420.6</v>
      </c>
      <c r="Z424" s="4">
        <f>IFERROR(Y424/X424,"")</f>
        <v>0.3466</v>
      </c>
      <c r="AA424" s="1">
        <f>IF(OR(C424="",D424=""),"",D424-C424)</f>
        <v>3</v>
      </c>
      <c r="AB424" s="1">
        <f>IF(C424="","",MONTH(C424))</f>
        <v>9</v>
      </c>
      <c r="AC424" s="1">
        <f>IF(C424="","",YEAR(C424))</f>
        <v>2025</v>
      </c>
      <c r="AD424" s="1" t="s">
        <v>45</v>
      </c>
      <c r="AE424" s="1" t="s">
        <v>46</v>
      </c>
      <c r="AF424" s="1" t="s">
        <v>47</v>
      </c>
    </row>
    <row r="425" spans="1:32" s="10" customFormat="1" x14ac:dyDescent="0.25">
      <c r="A425" s="11">
        <v>425</v>
      </c>
      <c r="B425" s="11" t="s">
        <v>1429</v>
      </c>
      <c r="C425" s="12">
        <v>45341.77083333333</v>
      </c>
      <c r="D425" s="12">
        <v>45348.77083333333</v>
      </c>
      <c r="E425" s="11" t="s">
        <v>1430</v>
      </c>
      <c r="F425" s="11" t="s">
        <v>186</v>
      </c>
      <c r="G425" s="11" t="s">
        <v>35</v>
      </c>
      <c r="H425" s="11" t="s">
        <v>71</v>
      </c>
      <c r="I425" s="11" t="s">
        <v>211</v>
      </c>
      <c r="J425" s="11" t="s">
        <v>212</v>
      </c>
      <c r="K425" s="11" t="s">
        <v>93</v>
      </c>
      <c r="L425" s="11" t="s">
        <v>94</v>
      </c>
      <c r="M425" s="11" t="s">
        <v>1431</v>
      </c>
      <c r="N425" s="11" t="s">
        <v>64</v>
      </c>
      <c r="O425" s="11">
        <v>9</v>
      </c>
      <c r="P425" s="13">
        <v>3779.31</v>
      </c>
      <c r="Q425" s="14">
        <v>0.2</v>
      </c>
      <c r="R425" s="14">
        <v>0.2</v>
      </c>
      <c r="S425" s="13">
        <v>27211.03</v>
      </c>
      <c r="T425" s="13">
        <v>17940.43</v>
      </c>
      <c r="U425" s="13">
        <v>9270.6</v>
      </c>
      <c r="V425" s="11" t="s">
        <v>43</v>
      </c>
      <c r="W425" s="11" t="s">
        <v>44</v>
      </c>
      <c r="X425" s="13">
        <f>IF(OR(O425="",P425="",R425=""),"",O425*P425*(1-R425))</f>
        <v>27211.03</v>
      </c>
      <c r="Y425" s="13">
        <f>IF(OR(X425="",T425=""),"",X425-T425)</f>
        <v>9270.6</v>
      </c>
      <c r="Z425" s="14">
        <f>IFERROR(Y425/X425,"")</f>
        <v>0.3407</v>
      </c>
      <c r="AA425" s="11">
        <f>IF(OR(C425="",D425=""),"",D425-C425)</f>
        <v>7</v>
      </c>
      <c r="AB425" s="11">
        <f>IF(C425="","",MONTH(C425))</f>
        <v>2</v>
      </c>
      <c r="AC425" s="11">
        <f>IF(C425="","",YEAR(C425))</f>
        <v>2024</v>
      </c>
      <c r="AD425" s="11" t="s">
        <v>65</v>
      </c>
      <c r="AE425" s="11" t="s">
        <v>66</v>
      </c>
      <c r="AF425" s="11" t="s">
        <v>417</v>
      </c>
    </row>
    <row r="426" spans="1:32" x14ac:dyDescent="0.25">
      <c r="A426" s="1">
        <v>426</v>
      </c>
      <c r="B426" s="1" t="s">
        <v>1432</v>
      </c>
      <c r="C426" s="2">
        <v>45468.77083333333</v>
      </c>
      <c r="D426" s="2">
        <v>45471.77083333333</v>
      </c>
      <c r="E426" s="1" t="s">
        <v>1433</v>
      </c>
      <c r="F426" s="1" t="s">
        <v>98</v>
      </c>
      <c r="G426" s="1" t="s">
        <v>109</v>
      </c>
      <c r="H426" s="1" t="s">
        <v>36</v>
      </c>
      <c r="I426" s="1" t="s">
        <v>143</v>
      </c>
      <c r="J426" s="1" t="s">
        <v>144</v>
      </c>
      <c r="K426" s="1" t="s">
        <v>93</v>
      </c>
      <c r="L426" s="1" t="s">
        <v>196</v>
      </c>
      <c r="M426" s="1" t="s">
        <v>1434</v>
      </c>
      <c r="N426" s="1" t="s">
        <v>76</v>
      </c>
      <c r="O426" s="1">
        <v>8</v>
      </c>
      <c r="P426" s="3">
        <v>804.52</v>
      </c>
      <c r="Q426" s="4">
        <v>0</v>
      </c>
      <c r="R426" s="4">
        <v>0</v>
      </c>
      <c r="S426" s="3">
        <v>6436.16</v>
      </c>
      <c r="T426" s="3">
        <v>4263.83</v>
      </c>
      <c r="U426" s="3">
        <v>2172.33</v>
      </c>
      <c r="V426" s="1" t="s">
        <v>43</v>
      </c>
      <c r="W426" s="1" t="s">
        <v>44</v>
      </c>
      <c r="X426" s="3">
        <f>IF(OR(O426="",P426="",R426=""),"",O426*P426*(1-R426))</f>
        <v>6436.16</v>
      </c>
      <c r="Y426" s="3">
        <f>IF(OR(X426="",T426=""),"",X426-T426)</f>
        <v>2172.33</v>
      </c>
      <c r="Z426" s="4">
        <f>IFERROR(Y426/X426,"")</f>
        <v>0.3375</v>
      </c>
      <c r="AA426" s="1">
        <f>IF(OR(C426="",D426=""),"",D426-C426)</f>
        <v>3</v>
      </c>
      <c r="AB426" s="1">
        <f>IF(C426="","",MONTH(C426))</f>
        <v>6</v>
      </c>
      <c r="AC426" s="1">
        <f>IF(C426="","",YEAR(C426))</f>
        <v>2024</v>
      </c>
      <c r="AD426" s="1" t="s">
        <v>45</v>
      </c>
      <c r="AE426" s="1" t="s">
        <v>46</v>
      </c>
      <c r="AF426" s="1" t="s">
        <v>47</v>
      </c>
    </row>
    <row r="427" spans="1:32" s="15" customFormat="1" x14ac:dyDescent="0.25">
      <c r="A427" s="16">
        <v>427</v>
      </c>
      <c r="B427" s="16" t="s">
        <v>1435</v>
      </c>
      <c r="C427" s="17">
        <v>45560.77083333333</v>
      </c>
      <c r="D427" s="17">
        <v>45561.77083333333</v>
      </c>
      <c r="E427" s="16" t="s">
        <v>1436</v>
      </c>
      <c r="F427" s="16" t="s">
        <v>61</v>
      </c>
      <c r="G427" s="16" t="s">
        <v>114</v>
      </c>
      <c r="H427" s="16" t="s">
        <v>36</v>
      </c>
      <c r="I427" s="16" t="s">
        <v>384</v>
      </c>
      <c r="J427" s="16" t="s">
        <v>385</v>
      </c>
      <c r="K427" s="16" t="s">
        <v>39</v>
      </c>
      <c r="L427" s="16" t="s">
        <v>110</v>
      </c>
      <c r="M427" s="16" t="s">
        <v>1437</v>
      </c>
      <c r="N427" s="16" t="s">
        <v>64</v>
      </c>
      <c r="O427" s="16">
        <v>2</v>
      </c>
      <c r="P427" s="18">
        <v>1065.69</v>
      </c>
      <c r="Q427" s="19">
        <v>0.1</v>
      </c>
      <c r="R427" s="19">
        <v>0.1</v>
      </c>
      <c r="S427" s="18">
        <v>1918.24</v>
      </c>
      <c r="T427" s="18">
        <v>1373.52</v>
      </c>
      <c r="U427" s="18">
        <v>544.72</v>
      </c>
      <c r="V427" s="16" t="s">
        <v>121</v>
      </c>
      <c r="W427" s="16" t="s">
        <v>85</v>
      </c>
      <c r="X427" s="18">
        <f>IF(OR(O427="",P427="",R427=""),"",O427*P427*(1-R427))</f>
        <v>1918.24</v>
      </c>
      <c r="Y427" s="18">
        <f>IF(OR(X427="",T427=""),"",X427-T427)</f>
        <v>544.72</v>
      </c>
      <c r="Z427" s="19">
        <f>IFERROR(Y427/X427,"")</f>
        <v>0.284</v>
      </c>
      <c r="AA427" s="16">
        <f>IF(OR(C427="",D427=""),"",D427-C427)</f>
        <v>1</v>
      </c>
      <c r="AB427" s="16">
        <f>IF(C427="","",MONTH(C427))</f>
        <v>9</v>
      </c>
      <c r="AC427" s="16">
        <f>IF(C427="","",YEAR(C427))</f>
        <v>2024</v>
      </c>
      <c r="AD427" s="16" t="s">
        <v>86</v>
      </c>
      <c r="AE427" s="16" t="s">
        <v>66</v>
      </c>
      <c r="AF427" s="16" t="s">
        <v>160</v>
      </c>
    </row>
    <row r="428" spans="1:32" x14ac:dyDescent="0.25">
      <c r="A428" s="1">
        <v>428</v>
      </c>
      <c r="B428" s="1" t="s">
        <v>1438</v>
      </c>
      <c r="C428" s="2">
        <v>45472.77083333333</v>
      </c>
      <c r="D428" s="2">
        <v>45473.77083333333</v>
      </c>
      <c r="E428" s="1" t="s">
        <v>1439</v>
      </c>
      <c r="F428" s="1" t="s">
        <v>108</v>
      </c>
      <c r="G428" s="1" t="s">
        <v>35</v>
      </c>
      <c r="H428" s="1" t="s">
        <v>36</v>
      </c>
      <c r="I428" s="1" t="s">
        <v>266</v>
      </c>
      <c r="J428" s="1" t="s">
        <v>267</v>
      </c>
      <c r="K428" s="1" t="s">
        <v>93</v>
      </c>
      <c r="L428" s="1" t="s">
        <v>99</v>
      </c>
      <c r="M428" s="1" t="s">
        <v>1440</v>
      </c>
      <c r="N428" s="1" t="s">
        <v>58</v>
      </c>
      <c r="O428" s="1">
        <v>8</v>
      </c>
      <c r="P428" s="3">
        <v>3756.66</v>
      </c>
      <c r="Q428" s="4">
        <v>0.1</v>
      </c>
      <c r="R428" s="4">
        <v>0.1</v>
      </c>
      <c r="S428" s="3">
        <v>27047.95</v>
      </c>
      <c r="T428" s="3">
        <v>18431.33</v>
      </c>
      <c r="U428" s="3">
        <v>8616.62</v>
      </c>
      <c r="V428" s="1" t="s">
        <v>43</v>
      </c>
      <c r="W428" s="1" t="s">
        <v>44</v>
      </c>
      <c r="X428" s="3">
        <f>IF(OR(O428="",P428="",R428=""),"",O428*P428*(1-R428))</f>
        <v>27047.95</v>
      </c>
      <c r="Y428" s="3">
        <f>IF(OR(X428="",T428=""),"",X428-T428)</f>
        <v>8616.62</v>
      </c>
      <c r="Z428" s="4">
        <f>IFERROR(Y428/X428,"")</f>
        <v>0.3186</v>
      </c>
      <c r="AA428" s="1">
        <f>IF(OR(C428="",D428=""),"",D428-C428)</f>
        <v>1</v>
      </c>
      <c r="AB428" s="1">
        <f>IF(C428="","",MONTH(C428))</f>
        <v>6</v>
      </c>
      <c r="AC428" s="1">
        <f>IF(C428="","",YEAR(C428))</f>
        <v>2024</v>
      </c>
      <c r="AD428" s="1" t="s">
        <v>45</v>
      </c>
      <c r="AE428" s="1" t="s">
        <v>46</v>
      </c>
      <c r="AF428" s="1" t="s">
        <v>47</v>
      </c>
    </row>
    <row r="429" spans="1:32" s="15" customFormat="1" x14ac:dyDescent="0.25">
      <c r="A429" s="16">
        <v>429</v>
      </c>
      <c r="B429" s="16" t="s">
        <v>1441</v>
      </c>
      <c r="C429" s="17">
        <v>45768.77083333333</v>
      </c>
      <c r="D429" s="17">
        <v>45770.77083333333</v>
      </c>
      <c r="E429" s="16" t="s">
        <v>1442</v>
      </c>
      <c r="F429" s="16" t="s">
        <v>61</v>
      </c>
      <c r="G429" s="16" t="s">
        <v>109</v>
      </c>
      <c r="H429" s="16" t="s">
        <v>232</v>
      </c>
      <c r="I429" s="16" t="s">
        <v>258</v>
      </c>
      <c r="J429" s="16" t="s">
        <v>259</v>
      </c>
      <c r="K429" s="16" t="s">
        <v>93</v>
      </c>
      <c r="L429" s="16" t="s">
        <v>94</v>
      </c>
      <c r="M429" s="16" t="s">
        <v>1443</v>
      </c>
      <c r="N429" s="16" t="s">
        <v>76</v>
      </c>
      <c r="O429" s="16">
        <v>9</v>
      </c>
      <c r="P429" s="18">
        <v>2939.44</v>
      </c>
      <c r="Q429" s="19">
        <v>0</v>
      </c>
      <c r="R429" s="19">
        <v>0</v>
      </c>
      <c r="S429" s="18">
        <v>26454.96</v>
      </c>
      <c r="T429" s="18">
        <v>17630.25</v>
      </c>
      <c r="U429" s="18">
        <v>8824.71</v>
      </c>
      <c r="V429" s="16" t="s">
        <v>43</v>
      </c>
      <c r="W429" s="16" t="s">
        <v>44</v>
      </c>
      <c r="X429" s="18">
        <f>IF(OR(O429="",P429="",R429=""),"",O429*P429*(1-R429))</f>
        <v>26454.96</v>
      </c>
      <c r="Y429" s="18">
        <f>IF(OR(X429="",T429=""),"",X429-T429)</f>
        <v>8824.71</v>
      </c>
      <c r="Z429" s="19">
        <f>IFERROR(Y429/X429,"")</f>
        <v>0.3336</v>
      </c>
      <c r="AA429" s="16">
        <f>IF(OR(C429="",D429=""),"",D429-C429)</f>
        <v>2</v>
      </c>
      <c r="AB429" s="16">
        <f>IF(C429="","",MONTH(C429))</f>
        <v>4</v>
      </c>
      <c r="AC429" s="16">
        <f>IF(C429="","",YEAR(C429))</f>
        <v>2025</v>
      </c>
      <c r="AD429" s="16" t="s">
        <v>86</v>
      </c>
      <c r="AE429" s="16" t="s">
        <v>46</v>
      </c>
      <c r="AF429" s="16" t="s">
        <v>487</v>
      </c>
    </row>
    <row r="430" spans="1:32" s="15" customFormat="1" x14ac:dyDescent="0.25">
      <c r="A430" s="16">
        <v>430</v>
      </c>
      <c r="B430" s="16" t="s">
        <v>1444</v>
      </c>
      <c r="C430" s="17">
        <v>45730.77083333333</v>
      </c>
      <c r="D430" s="17">
        <v>45737.77083333333</v>
      </c>
      <c r="E430" s="16" t="s">
        <v>1445</v>
      </c>
      <c r="F430" s="16" t="s">
        <v>34</v>
      </c>
      <c r="G430" s="16" t="s">
        <v>51</v>
      </c>
      <c r="H430" s="16" t="s">
        <v>52</v>
      </c>
      <c r="I430" s="16" t="s">
        <v>118</v>
      </c>
      <c r="J430" s="16" t="s">
        <v>119</v>
      </c>
      <c r="K430" s="16" t="s">
        <v>93</v>
      </c>
      <c r="L430" s="16" t="s">
        <v>196</v>
      </c>
      <c r="M430" s="16" t="s">
        <v>1446</v>
      </c>
      <c r="N430" s="16" t="s">
        <v>58</v>
      </c>
      <c r="O430" s="16">
        <v>2</v>
      </c>
      <c r="P430" s="18">
        <v>1235.93</v>
      </c>
      <c r="Q430" s="19">
        <v>0.25</v>
      </c>
      <c r="R430" s="19">
        <v>0.25</v>
      </c>
      <c r="S430" s="18">
        <v>1853.89</v>
      </c>
      <c r="T430" s="18">
        <v>1101.23</v>
      </c>
      <c r="U430" s="18">
        <v>752.66</v>
      </c>
      <c r="V430" s="16" t="s">
        <v>131</v>
      </c>
      <c r="W430" s="16" t="s">
        <v>85</v>
      </c>
      <c r="X430" s="18">
        <f>IF(OR(O430="",P430="",R430=""),"",O430*P430*(1-R430))</f>
        <v>1853.9</v>
      </c>
      <c r="Y430" s="18">
        <f>IF(OR(X430="",T430=""),"",X430-T430)</f>
        <v>752.67</v>
      </c>
      <c r="Z430" s="19">
        <f>IFERROR(Y430/X430,"")</f>
        <v>0.406</v>
      </c>
      <c r="AA430" s="16">
        <f>IF(OR(C430="",D430=""),"",D430-C430)</f>
        <v>7</v>
      </c>
      <c r="AB430" s="16">
        <f>IF(C430="","",MONTH(C430))</f>
        <v>3</v>
      </c>
      <c r="AC430" s="16">
        <f>IF(C430="","",YEAR(C430))</f>
        <v>2025</v>
      </c>
      <c r="AD430" s="16" t="s">
        <v>86</v>
      </c>
      <c r="AE430" s="16" t="s">
        <v>66</v>
      </c>
      <c r="AF430" s="16" t="s">
        <v>255</v>
      </c>
    </row>
    <row r="431" spans="1:32" x14ac:dyDescent="0.25">
      <c r="A431" s="1">
        <v>431</v>
      </c>
      <c r="B431" s="1" t="s">
        <v>1447</v>
      </c>
      <c r="C431" s="2">
        <v>45716.77083333333</v>
      </c>
      <c r="D431" s="2">
        <v>45723.77083333333</v>
      </c>
      <c r="E431" s="1" t="s">
        <v>1448</v>
      </c>
      <c r="F431" s="1" t="s">
        <v>98</v>
      </c>
      <c r="G431" s="1" t="s">
        <v>114</v>
      </c>
      <c r="H431" s="1" t="s">
        <v>36</v>
      </c>
      <c r="I431" s="1" t="s">
        <v>37</v>
      </c>
      <c r="J431" s="1" t="s">
        <v>38</v>
      </c>
      <c r="K431" s="1" t="s">
        <v>93</v>
      </c>
      <c r="L431" s="1" t="s">
        <v>99</v>
      </c>
      <c r="M431" s="1" t="s">
        <v>1449</v>
      </c>
      <c r="N431" s="1" t="s">
        <v>58</v>
      </c>
      <c r="O431" s="1">
        <v>8</v>
      </c>
      <c r="P431" s="3">
        <v>2943.1</v>
      </c>
      <c r="Q431" s="4">
        <v>0.25</v>
      </c>
      <c r="R431" s="4">
        <v>0.25</v>
      </c>
      <c r="S431" s="3">
        <v>17658.6</v>
      </c>
      <c r="T431" s="3">
        <v>13842.48</v>
      </c>
      <c r="U431" s="3">
        <v>3816.12</v>
      </c>
      <c r="V431" s="1" t="s">
        <v>43</v>
      </c>
      <c r="W431" s="1" t="s">
        <v>44</v>
      </c>
      <c r="X431" s="3">
        <f>IF(OR(O431="",P431="",R431=""),"",O431*P431*(1-R431))</f>
        <v>17658.6</v>
      </c>
      <c r="Y431" s="3">
        <f>IF(OR(X431="",T431=""),"",X431-T431)</f>
        <v>3816.12</v>
      </c>
      <c r="Z431" s="4">
        <f>IFERROR(Y431/X431,"")</f>
        <v>0.2161</v>
      </c>
      <c r="AA431" s="1">
        <f>IF(OR(C431="",D431=""),"",D431-C431)</f>
        <v>7</v>
      </c>
      <c r="AB431" s="1">
        <f>IF(C431="","",MONTH(C431))</f>
        <v>3</v>
      </c>
      <c r="AC431" s="1">
        <f>IF(C431="","",YEAR(C431))</f>
        <v>2025</v>
      </c>
      <c r="AD431" s="1" t="s">
        <v>45</v>
      </c>
      <c r="AE431" s="1" t="s">
        <v>46</v>
      </c>
      <c r="AF431" s="1" t="s">
        <v>47</v>
      </c>
    </row>
    <row r="432" spans="1:32" s="10" customFormat="1" x14ac:dyDescent="0.25">
      <c r="A432" s="11">
        <v>432</v>
      </c>
      <c r="B432" s="11" t="s">
        <v>1450</v>
      </c>
      <c r="C432" s="12">
        <v>45533.77083333333</v>
      </c>
      <c r="D432" s="12">
        <v>45536.77083333333</v>
      </c>
      <c r="E432" s="11" t="s">
        <v>1451</v>
      </c>
      <c r="F432" s="11" t="s">
        <v>98</v>
      </c>
      <c r="G432" s="11" t="s">
        <v>51</v>
      </c>
      <c r="H432" s="11" t="s">
        <v>36</v>
      </c>
      <c r="I432" s="11" t="s">
        <v>266</v>
      </c>
      <c r="J432" s="11" t="s">
        <v>267</v>
      </c>
      <c r="K432" s="11" t="s">
        <v>39</v>
      </c>
      <c r="L432" s="11" t="s">
        <v>40</v>
      </c>
      <c r="M432" s="11" t="s">
        <v>1452</v>
      </c>
      <c r="N432" s="11" t="s">
        <v>42</v>
      </c>
      <c r="O432" s="11">
        <v>1</v>
      </c>
      <c r="P432" s="13">
        <v>4320.84</v>
      </c>
      <c r="Q432" s="14">
        <v>0.15</v>
      </c>
      <c r="R432" s="14">
        <v>0.15</v>
      </c>
      <c r="S432" s="13">
        <v>3672.71</v>
      </c>
      <c r="T432" s="13">
        <v>2714.23</v>
      </c>
      <c r="U432" s="13">
        <v>763.38</v>
      </c>
      <c r="V432" s="11" t="s">
        <v>43</v>
      </c>
      <c r="W432" s="11" t="s">
        <v>44</v>
      </c>
      <c r="X432" s="13">
        <f>IF(OR(O432="",P432="",R432=""),"",O432*P432*(1-R432))</f>
        <v>3672.71</v>
      </c>
      <c r="Y432" s="13">
        <f>IF(OR(X432="",T432=""),"",X432-T432)</f>
        <v>958.48</v>
      </c>
      <c r="Z432" s="14">
        <f>IFERROR(Y432/X432,"")</f>
        <v>0.261</v>
      </c>
      <c r="AA432" s="11">
        <f>IF(OR(C432="",D432=""),"",D432-C432)</f>
        <v>3</v>
      </c>
      <c r="AB432" s="11">
        <f>IF(C432="","",MONTH(C432))</f>
        <v>8</v>
      </c>
      <c r="AC432" s="11">
        <f>IF(C432="","",YEAR(C432))</f>
        <v>2024</v>
      </c>
      <c r="AD432" s="11" t="s">
        <v>65</v>
      </c>
      <c r="AE432" s="11" t="s">
        <v>66</v>
      </c>
      <c r="AF432" s="11" t="s">
        <v>332</v>
      </c>
    </row>
    <row r="433" spans="1:32" x14ac:dyDescent="0.25">
      <c r="A433" s="1">
        <v>433</v>
      </c>
      <c r="B433" s="1" t="s">
        <v>1453</v>
      </c>
      <c r="C433" s="2">
        <v>45331.77083333333</v>
      </c>
      <c r="D433" s="2">
        <v>45334.77083333333</v>
      </c>
      <c r="E433" s="1" t="s">
        <v>1454</v>
      </c>
      <c r="F433" s="1" t="s">
        <v>34</v>
      </c>
      <c r="G433" s="1" t="s">
        <v>114</v>
      </c>
      <c r="H433" s="1" t="s">
        <v>80</v>
      </c>
      <c r="I433" s="1" t="s">
        <v>216</v>
      </c>
      <c r="J433" s="1" t="s">
        <v>217</v>
      </c>
      <c r="K433" s="1" t="s">
        <v>93</v>
      </c>
      <c r="L433" s="1" t="s">
        <v>305</v>
      </c>
      <c r="M433" s="1" t="s">
        <v>1455</v>
      </c>
      <c r="N433" s="1" t="s">
        <v>58</v>
      </c>
      <c r="O433" s="1">
        <v>2</v>
      </c>
      <c r="P433" s="3">
        <v>4118.45</v>
      </c>
      <c r="Q433" s="4">
        <v>0.25</v>
      </c>
      <c r="R433" s="4">
        <v>0.25</v>
      </c>
      <c r="S433" s="3">
        <v>6177.67</v>
      </c>
      <c r="T433" s="3">
        <v>4520.75</v>
      </c>
      <c r="U433" s="3">
        <v>1656.92</v>
      </c>
      <c r="V433" s="1" t="s">
        <v>43</v>
      </c>
      <c r="W433" s="1" t="s">
        <v>44</v>
      </c>
      <c r="X433" s="3">
        <f>IF(OR(O433="",P433="",R433=""),"",O433*P433*(1-R433))</f>
        <v>6177.67</v>
      </c>
      <c r="Y433" s="3">
        <f>IF(OR(X433="",T433=""),"",X433-T433)</f>
        <v>1656.92</v>
      </c>
      <c r="Z433" s="4">
        <f>IFERROR(Y433/X433,"")</f>
        <v>0.2682</v>
      </c>
      <c r="AA433" s="1">
        <f>IF(OR(C433="",D433=""),"",D433-C433)</f>
        <v>3</v>
      </c>
      <c r="AB433" s="1">
        <f>IF(C433="","",MONTH(C433))</f>
        <v>2</v>
      </c>
      <c r="AC433" s="1">
        <f>IF(C433="","",YEAR(C433))</f>
        <v>2024</v>
      </c>
      <c r="AD433" s="1" t="s">
        <v>45</v>
      </c>
      <c r="AE433" s="1" t="s">
        <v>46</v>
      </c>
      <c r="AF433" s="1" t="s">
        <v>47</v>
      </c>
    </row>
    <row r="434" spans="1:32" x14ac:dyDescent="0.25">
      <c r="A434" s="1">
        <v>434</v>
      </c>
      <c r="B434" s="1" t="s">
        <v>1456</v>
      </c>
      <c r="C434" s="2">
        <v>45532.77083333333</v>
      </c>
      <c r="D434" s="2">
        <v>45536.77083333333</v>
      </c>
      <c r="E434" s="1" t="s">
        <v>1457</v>
      </c>
      <c r="F434" s="1" t="s">
        <v>135</v>
      </c>
      <c r="G434" s="1" t="s">
        <v>51</v>
      </c>
      <c r="H434" s="1" t="s">
        <v>80</v>
      </c>
      <c r="I434" s="1" t="s">
        <v>81</v>
      </c>
      <c r="J434" s="1" t="s">
        <v>82</v>
      </c>
      <c r="K434" s="1" t="s">
        <v>55</v>
      </c>
      <c r="L434" s="1" t="s">
        <v>182</v>
      </c>
      <c r="M434" s="1" t="s">
        <v>1458</v>
      </c>
      <c r="N434" s="1" t="s">
        <v>76</v>
      </c>
      <c r="O434" s="1">
        <v>6</v>
      </c>
      <c r="P434" s="3">
        <v>172.82</v>
      </c>
      <c r="Q434" s="4">
        <v>0.05</v>
      </c>
      <c r="R434" s="4">
        <v>0.05</v>
      </c>
      <c r="S434" s="3">
        <v>985.07</v>
      </c>
      <c r="T434" s="3">
        <v>844.48</v>
      </c>
      <c r="U434" s="3">
        <v>140.59</v>
      </c>
      <c r="V434" s="1" t="s">
        <v>43</v>
      </c>
      <c r="W434" s="1" t="s">
        <v>44</v>
      </c>
      <c r="X434" s="3">
        <f>IF(OR(O434="",P434="",R434=""),"",O434*P434*(1-R434))</f>
        <v>985.07</v>
      </c>
      <c r="Y434" s="3">
        <f>IF(OR(X434="",T434=""),"",X434-T434)</f>
        <v>140.59</v>
      </c>
      <c r="Z434" s="4">
        <f>IFERROR(Y434/X434,"")</f>
        <v>0.1427</v>
      </c>
      <c r="AA434" s="1">
        <f>IF(OR(C434="",D434=""),"",D434-C434)</f>
        <v>4</v>
      </c>
      <c r="AB434" s="1">
        <f>IF(C434="","",MONTH(C434))</f>
        <v>8</v>
      </c>
      <c r="AC434" s="1">
        <f>IF(C434="","",YEAR(C434))</f>
        <v>2024</v>
      </c>
      <c r="AD434" s="1" t="s">
        <v>45</v>
      </c>
      <c r="AE434" s="1" t="s">
        <v>46</v>
      </c>
      <c r="AF434" s="1" t="s">
        <v>47</v>
      </c>
    </row>
    <row r="435" spans="1:32" s="15" customFormat="1" x14ac:dyDescent="0.25">
      <c r="A435" s="16">
        <v>435</v>
      </c>
      <c r="B435" s="16" t="s">
        <v>1459</v>
      </c>
      <c r="C435" s="17">
        <v>45400.77083333333</v>
      </c>
      <c r="D435" s="17">
        <v>45401.77083333333</v>
      </c>
      <c r="E435" s="16" t="s">
        <v>1460</v>
      </c>
      <c r="F435" s="16" t="s">
        <v>135</v>
      </c>
      <c r="G435" s="16" t="s">
        <v>109</v>
      </c>
      <c r="H435" s="16" t="s">
        <v>71</v>
      </c>
      <c r="I435" s="16" t="s">
        <v>211</v>
      </c>
      <c r="J435" s="16" t="s">
        <v>212</v>
      </c>
      <c r="K435" s="16" t="s">
        <v>39</v>
      </c>
      <c r="L435" s="16" t="s">
        <v>62</v>
      </c>
      <c r="M435" s="16" t="s">
        <v>1461</v>
      </c>
      <c r="N435" s="16" t="s">
        <v>42</v>
      </c>
      <c r="O435" s="16">
        <v>4</v>
      </c>
      <c r="P435" s="18">
        <v>1540.22</v>
      </c>
      <c r="Q435" s="19">
        <v>0</v>
      </c>
      <c r="R435" s="19">
        <v>0</v>
      </c>
      <c r="S435" s="18">
        <v>6160.88</v>
      </c>
      <c r="T435" s="18">
        <v>4938.7</v>
      </c>
      <c r="U435" s="18">
        <v>1222.18</v>
      </c>
      <c r="V435" s="16" t="s">
        <v>121</v>
      </c>
      <c r="W435" s="16" t="s">
        <v>122</v>
      </c>
      <c r="X435" s="18">
        <f>IF(OR(O435="",P435="",R435=""),"",O435*P435*(1-R435))</f>
        <v>6160.88</v>
      </c>
      <c r="Y435" s="18">
        <f>IF(OR(X435="",T435=""),"",X435-T435)</f>
        <v>1222.18</v>
      </c>
      <c r="Z435" s="19">
        <f>IFERROR(Y435/X435,"")</f>
        <v>0.1984</v>
      </c>
      <c r="AA435" s="16">
        <f>IF(OR(C435="",D435=""),"",D435-C435)</f>
        <v>1</v>
      </c>
      <c r="AB435" s="16">
        <f>IF(C435="","",MONTH(C435))</f>
        <v>4</v>
      </c>
      <c r="AC435" s="16">
        <f>IF(C435="","",YEAR(C435))</f>
        <v>2024</v>
      </c>
      <c r="AD435" s="16" t="s">
        <v>86</v>
      </c>
      <c r="AE435" s="16" t="s">
        <v>66</v>
      </c>
      <c r="AF435" s="16" t="s">
        <v>123</v>
      </c>
    </row>
    <row r="436" spans="1:32" x14ac:dyDescent="0.25">
      <c r="A436" s="1">
        <v>436</v>
      </c>
      <c r="B436" s="1" t="s">
        <v>1462</v>
      </c>
      <c r="C436" s="2">
        <v>45757.77083333333</v>
      </c>
      <c r="D436" s="2">
        <v>45761.77083333333</v>
      </c>
      <c r="E436" s="1" t="s">
        <v>1463</v>
      </c>
      <c r="F436" s="1" t="s">
        <v>50</v>
      </c>
      <c r="G436" s="1" t="s">
        <v>114</v>
      </c>
      <c r="H436" s="1" t="s">
        <v>36</v>
      </c>
      <c r="I436" s="1" t="s">
        <v>157</v>
      </c>
      <c r="J436" s="1" t="s">
        <v>158</v>
      </c>
      <c r="K436" s="1" t="s">
        <v>93</v>
      </c>
      <c r="L436" s="1" t="s">
        <v>94</v>
      </c>
      <c r="M436" s="1" t="s">
        <v>1464</v>
      </c>
      <c r="N436" s="1" t="s">
        <v>42</v>
      </c>
      <c r="O436" s="1">
        <v>5</v>
      </c>
      <c r="P436" s="3">
        <v>652.78</v>
      </c>
      <c r="Q436" s="4">
        <v>0</v>
      </c>
      <c r="R436" s="4">
        <v>0</v>
      </c>
      <c r="S436" s="3">
        <v>3263.9</v>
      </c>
      <c r="T436" s="3">
        <v>2068.44</v>
      </c>
      <c r="U436" s="3">
        <v>1195.46</v>
      </c>
      <c r="V436" s="1" t="s">
        <v>43</v>
      </c>
      <c r="W436" s="1" t="s">
        <v>44</v>
      </c>
      <c r="X436" s="3">
        <f>IF(OR(O436="",P436="",R436=""),"",O436*P436*(1-R436))</f>
        <v>3263.9</v>
      </c>
      <c r="Y436" s="3">
        <f>IF(OR(X436="",T436=""),"",X436-T436)</f>
        <v>1195.46</v>
      </c>
      <c r="Z436" s="4">
        <f>IFERROR(Y436/X436,"")</f>
        <v>0.3663</v>
      </c>
      <c r="AA436" s="1">
        <f>IF(OR(C436="",D436=""),"",D436-C436)</f>
        <v>4</v>
      </c>
      <c r="AB436" s="1">
        <f>IF(C436="","",MONTH(C436))</f>
        <v>4</v>
      </c>
      <c r="AC436" s="1">
        <f>IF(C436="","",YEAR(C436))</f>
        <v>2025</v>
      </c>
      <c r="AD436" s="1" t="s">
        <v>45</v>
      </c>
      <c r="AE436" s="1" t="s">
        <v>46</v>
      </c>
      <c r="AF436" s="1" t="s">
        <v>47</v>
      </c>
    </row>
    <row r="437" spans="1:32" s="15" customFormat="1" x14ac:dyDescent="0.25">
      <c r="A437" s="16">
        <v>437</v>
      </c>
      <c r="B437" s="16" t="s">
        <v>1465</v>
      </c>
      <c r="C437" s="17">
        <v>45758.77083333333</v>
      </c>
      <c r="D437" s="17">
        <v>45766.77083333333</v>
      </c>
      <c r="E437" s="16" t="s">
        <v>1466</v>
      </c>
      <c r="F437" s="16" t="s">
        <v>294</v>
      </c>
      <c r="G437" s="16" t="s">
        <v>114</v>
      </c>
      <c r="H437" s="16" t="s">
        <v>36</v>
      </c>
      <c r="I437" s="16" t="s">
        <v>384</v>
      </c>
      <c r="J437" s="16" t="s">
        <v>385</v>
      </c>
      <c r="K437" s="16" t="s">
        <v>93</v>
      </c>
      <c r="L437" s="16" t="s">
        <v>305</v>
      </c>
      <c r="M437" s="16" t="s">
        <v>1467</v>
      </c>
      <c r="N437" s="16" t="s">
        <v>76</v>
      </c>
      <c r="O437" s="16">
        <v>1</v>
      </c>
      <c r="P437" s="18">
        <v>2737.71</v>
      </c>
      <c r="Q437" s="19">
        <v>0.15</v>
      </c>
      <c r="R437" s="19">
        <v>0.15</v>
      </c>
      <c r="S437" s="18">
        <v>2327.05</v>
      </c>
      <c r="T437" s="18">
        <v>1919.42</v>
      </c>
      <c r="U437" s="18">
        <v>407.63</v>
      </c>
      <c r="V437" s="16" t="s">
        <v>43</v>
      </c>
      <c r="W437" s="16" t="s">
        <v>85</v>
      </c>
      <c r="X437" s="18">
        <f>IF(OR(O437="",P437="",R437=""),"",O437*P437*(1-R437))</f>
        <v>2327.05</v>
      </c>
      <c r="Y437" s="18">
        <f>IF(OR(X437="",T437=""),"",X437-T437)</f>
        <v>407.63</v>
      </c>
      <c r="Z437" s="19">
        <f>IFERROR(Y437/X437,"")</f>
        <v>0.1752</v>
      </c>
      <c r="AA437" s="16">
        <f>IF(OR(C437="",D437=""),"",D437-C437)</f>
        <v>8</v>
      </c>
      <c r="AB437" s="16">
        <f>IF(C437="","",MONTH(C437))</f>
        <v>4</v>
      </c>
      <c r="AC437" s="16">
        <f>IF(C437="","",YEAR(C437))</f>
        <v>2025</v>
      </c>
      <c r="AD437" s="16" t="s">
        <v>86</v>
      </c>
      <c r="AE437" s="16" t="s">
        <v>66</v>
      </c>
      <c r="AF437" s="16" t="s">
        <v>87</v>
      </c>
    </row>
    <row r="438" spans="1:32" s="15" customFormat="1" x14ac:dyDescent="0.25">
      <c r="A438" s="16">
        <v>438</v>
      </c>
      <c r="B438" s="16" t="s">
        <v>1468</v>
      </c>
      <c r="C438" s="17">
        <v>45458.77083333333</v>
      </c>
      <c r="D438" s="17">
        <v>45463.77083333333</v>
      </c>
      <c r="E438" s="16" t="s">
        <v>1469</v>
      </c>
      <c r="F438" s="16" t="s">
        <v>98</v>
      </c>
      <c r="G438" s="16" t="s">
        <v>35</v>
      </c>
      <c r="H438" s="16" t="s">
        <v>71</v>
      </c>
      <c r="I438" s="16" t="s">
        <v>211</v>
      </c>
      <c r="J438" s="16" t="s">
        <v>212</v>
      </c>
      <c r="K438" s="16" t="s">
        <v>55</v>
      </c>
      <c r="L438" s="16" t="s">
        <v>74</v>
      </c>
      <c r="M438" s="16" t="s">
        <v>1470</v>
      </c>
      <c r="N438" s="16" t="s">
        <v>58</v>
      </c>
      <c r="O438" s="16">
        <v>6</v>
      </c>
      <c r="P438" s="18">
        <v>1156.78</v>
      </c>
      <c r="Q438" s="19">
        <v>0.05</v>
      </c>
      <c r="R438" s="19">
        <v>0.05</v>
      </c>
      <c r="S438" s="18">
        <v>6593.65</v>
      </c>
      <c r="T438" s="18">
        <v>4359.39</v>
      </c>
      <c r="U438" s="18">
        <v>2234.26</v>
      </c>
      <c r="V438" s="16" t="s">
        <v>43</v>
      </c>
      <c r="W438" s="16" t="s">
        <v>122</v>
      </c>
      <c r="X438" s="18">
        <f>IF(OR(O438="",P438="",R438=""),"",O438*P438*(1-R438))</f>
        <v>6593.65</v>
      </c>
      <c r="Y438" s="18">
        <f>IF(OR(X438="",T438=""),"",X438-T438)</f>
        <v>2234.26</v>
      </c>
      <c r="Z438" s="19">
        <f>IFERROR(Y438/X438,"")</f>
        <v>0.3389</v>
      </c>
      <c r="AA438" s="16">
        <f>IF(OR(C438="",D438=""),"",D438-C438)</f>
        <v>5</v>
      </c>
      <c r="AB438" s="16">
        <f>IF(C438="","",MONTH(C438))</f>
        <v>6</v>
      </c>
      <c r="AC438" s="16">
        <f>IF(C438="","",YEAR(C438))</f>
        <v>2024</v>
      </c>
      <c r="AD438" s="16" t="s">
        <v>86</v>
      </c>
      <c r="AE438" s="16" t="s">
        <v>66</v>
      </c>
      <c r="AF438" s="16" t="s">
        <v>198</v>
      </c>
    </row>
    <row r="439" spans="1:32" s="15" customFormat="1" x14ac:dyDescent="0.25">
      <c r="A439" s="16">
        <v>439</v>
      </c>
      <c r="B439" s="16" t="s">
        <v>1471</v>
      </c>
      <c r="C439" s="17">
        <v>45336.77083333333</v>
      </c>
      <c r="D439" s="17">
        <v>45339.77083333333</v>
      </c>
      <c r="E439" s="16" t="s">
        <v>1472</v>
      </c>
      <c r="F439" s="16" t="s">
        <v>108</v>
      </c>
      <c r="G439" s="16" t="s">
        <v>51</v>
      </c>
      <c r="H439" s="16" t="s">
        <v>71</v>
      </c>
      <c r="I439" s="16" t="s">
        <v>211</v>
      </c>
      <c r="J439" s="16" t="s">
        <v>212</v>
      </c>
      <c r="K439" s="16" t="s">
        <v>93</v>
      </c>
      <c r="L439" s="16" t="s">
        <v>94</v>
      </c>
      <c r="M439" s="16" t="s">
        <v>1473</v>
      </c>
      <c r="N439" s="16" t="s">
        <v>58</v>
      </c>
      <c r="O439" s="16">
        <v>8</v>
      </c>
      <c r="P439" s="18">
        <v>379.82</v>
      </c>
      <c r="Q439" s="19">
        <v>0.05</v>
      </c>
      <c r="R439" s="19">
        <v>0.05</v>
      </c>
      <c r="S439" s="18">
        <v>2886.63</v>
      </c>
      <c r="T439" s="18">
        <v>1588.23</v>
      </c>
      <c r="U439" s="18">
        <v>1298.4</v>
      </c>
      <c r="V439" s="16" t="s">
        <v>178</v>
      </c>
      <c r="W439" s="16" t="s">
        <v>122</v>
      </c>
      <c r="X439" s="18">
        <f>IF(OR(O439="",P439="",R439=""),"",O439*P439*(1-R439))</f>
        <v>2886.63</v>
      </c>
      <c r="Y439" s="18">
        <f>IF(OR(X439="",T439=""),"",X439-T439)</f>
        <v>1298.4</v>
      </c>
      <c r="Z439" s="19">
        <f>IFERROR(Y439/X439,"")</f>
        <v>0.4498</v>
      </c>
      <c r="AA439" s="16">
        <f>IF(OR(C439="",D439=""),"",D439-C439)</f>
        <v>3</v>
      </c>
      <c r="AB439" s="16">
        <f>IF(C439="","",MONTH(C439))</f>
        <v>2</v>
      </c>
      <c r="AC439" s="16">
        <f>IF(C439="","",YEAR(C439))</f>
        <v>2024</v>
      </c>
      <c r="AD439" s="16" t="s">
        <v>86</v>
      </c>
      <c r="AE439" s="16" t="s">
        <v>66</v>
      </c>
      <c r="AF439" s="16" t="s">
        <v>179</v>
      </c>
    </row>
    <row r="440" spans="1:32" s="10" customFormat="1" x14ac:dyDescent="0.25">
      <c r="A440" s="11">
        <v>440</v>
      </c>
      <c r="B440" s="11" t="s">
        <v>1474</v>
      </c>
      <c r="C440" s="12">
        <v>45783.77083333333</v>
      </c>
      <c r="D440" s="12">
        <v>45781.77083333333</v>
      </c>
      <c r="E440" s="11" t="s">
        <v>1475</v>
      </c>
      <c r="F440" s="11" t="s">
        <v>98</v>
      </c>
      <c r="G440" s="11" t="s">
        <v>109</v>
      </c>
      <c r="H440" s="11" t="s">
        <v>52</v>
      </c>
      <c r="I440" s="11" t="s">
        <v>258</v>
      </c>
      <c r="J440" s="11" t="s">
        <v>259</v>
      </c>
      <c r="K440" s="11" t="s">
        <v>93</v>
      </c>
      <c r="L440" s="11" t="s">
        <v>196</v>
      </c>
      <c r="M440" s="11" t="s">
        <v>1476</v>
      </c>
      <c r="N440" s="11" t="s">
        <v>76</v>
      </c>
      <c r="O440" s="11">
        <v>1</v>
      </c>
      <c r="P440" s="13">
        <v>2266.47</v>
      </c>
      <c r="Q440" s="14">
        <v>0.2</v>
      </c>
      <c r="R440" s="14">
        <v>0.2</v>
      </c>
      <c r="S440" s="13">
        <v>1813.18</v>
      </c>
      <c r="T440" s="13">
        <v>1363.64</v>
      </c>
      <c r="U440" s="13">
        <v>449.54</v>
      </c>
      <c r="V440" s="11" t="s">
        <v>43</v>
      </c>
      <c r="W440" s="11" t="s">
        <v>44</v>
      </c>
      <c r="X440" s="13">
        <f>IF(OR(O440="",P440="",R440=""),"",O440*P440*(1-R440))</f>
        <v>1813.18</v>
      </c>
      <c r="Y440" s="13">
        <f>IF(OR(X440="",T440=""),"",X440-T440)</f>
        <v>449.54</v>
      </c>
      <c r="Z440" s="14">
        <f>IFERROR(Y440/X440,"")</f>
        <v>0.2479</v>
      </c>
      <c r="AA440" s="11">
        <f>IF(OR(C440="",D440=""),"",D440-C440)</f>
        <v>-2</v>
      </c>
      <c r="AB440" s="11">
        <f>IF(C440="","",MONTH(C440))</f>
        <v>5</v>
      </c>
      <c r="AC440" s="11">
        <f>IF(C440="","",YEAR(C440))</f>
        <v>2025</v>
      </c>
      <c r="AD440" s="11" t="s">
        <v>65</v>
      </c>
      <c r="AE440" s="11" t="s">
        <v>66</v>
      </c>
      <c r="AF440" s="11" t="s">
        <v>360</v>
      </c>
    </row>
    <row r="441" spans="1:32" s="15" customFormat="1" x14ac:dyDescent="0.25">
      <c r="A441" s="16">
        <v>441</v>
      </c>
      <c r="B441" s="16" t="s">
        <v>1477</v>
      </c>
      <c r="C441" s="17">
        <v>45837.77083333333</v>
      </c>
      <c r="D441" s="17">
        <v>45840.77083333333</v>
      </c>
      <c r="E441" s="16" t="s">
        <v>1478</v>
      </c>
      <c r="F441" s="16" t="s">
        <v>149</v>
      </c>
      <c r="G441" s="16" t="s">
        <v>114</v>
      </c>
      <c r="H441" s="16" t="s">
        <v>80</v>
      </c>
      <c r="I441" s="16" t="s">
        <v>216</v>
      </c>
      <c r="J441" s="16" t="s">
        <v>217</v>
      </c>
      <c r="K441" s="16" t="s">
        <v>39</v>
      </c>
      <c r="L441" s="16" t="s">
        <v>145</v>
      </c>
      <c r="M441" s="16" t="s">
        <v>1479</v>
      </c>
      <c r="N441" s="16" t="s">
        <v>58</v>
      </c>
      <c r="O441" s="16">
        <v>5</v>
      </c>
      <c r="P441" s="18">
        <v>665.25</v>
      </c>
      <c r="Q441" s="19">
        <v>0</v>
      </c>
      <c r="R441" s="19">
        <v>0</v>
      </c>
      <c r="S441" s="18">
        <v>3326.25</v>
      </c>
      <c r="T441" s="18">
        <v>2689.36</v>
      </c>
      <c r="U441" s="18">
        <v>636.89</v>
      </c>
      <c r="V441" s="16" t="s">
        <v>121</v>
      </c>
      <c r="W441" s="16" t="s">
        <v>122</v>
      </c>
      <c r="X441" s="18">
        <f>IF(OR(O441="",P441="",R441=""),"",O441*P441*(1-R441))</f>
        <v>3326.25</v>
      </c>
      <c r="Y441" s="18">
        <f>IF(OR(X441="",T441=""),"",X441-T441)</f>
        <v>636.89</v>
      </c>
      <c r="Z441" s="19">
        <f>IFERROR(Y441/X441,"")</f>
        <v>0.1915</v>
      </c>
      <c r="AA441" s="16">
        <f>IF(OR(C441="",D441=""),"",D441-C441)</f>
        <v>3</v>
      </c>
      <c r="AB441" s="16">
        <f>IF(C441="","",MONTH(C441))</f>
        <v>6</v>
      </c>
      <c r="AC441" s="16">
        <f>IF(C441="","",YEAR(C441))</f>
        <v>2025</v>
      </c>
      <c r="AD441" s="16" t="s">
        <v>86</v>
      </c>
      <c r="AE441" s="16" t="s">
        <v>66</v>
      </c>
      <c r="AF441" s="16" t="s">
        <v>123</v>
      </c>
    </row>
    <row r="442" spans="1:32" x14ac:dyDescent="0.25">
      <c r="A442" s="1">
        <v>442</v>
      </c>
      <c r="B442" s="1" t="s">
        <v>1480</v>
      </c>
      <c r="C442" s="2">
        <v>45383.77083333333</v>
      </c>
      <c r="D442" s="2">
        <v>45389.77083333333</v>
      </c>
      <c r="E442" s="1" t="s">
        <v>301</v>
      </c>
      <c r="F442" s="1" t="s">
        <v>90</v>
      </c>
      <c r="G442" s="1" t="s">
        <v>109</v>
      </c>
      <c r="H442" s="1" t="s">
        <v>52</v>
      </c>
      <c r="I442" s="1" t="s">
        <v>53</v>
      </c>
      <c r="J442" s="1" t="s">
        <v>54</v>
      </c>
      <c r="K442" s="1" t="s">
        <v>93</v>
      </c>
      <c r="L442" s="1" t="s">
        <v>305</v>
      </c>
      <c r="M442" s="1" t="s">
        <v>1481</v>
      </c>
      <c r="N442" s="1" t="s">
        <v>42</v>
      </c>
      <c r="O442" s="1">
        <v>6</v>
      </c>
      <c r="P442" s="3">
        <v>3722.84</v>
      </c>
      <c r="Q442" s="4">
        <v>0.2</v>
      </c>
      <c r="R442" s="4">
        <v>0.2</v>
      </c>
      <c r="S442" s="3">
        <v>17869.63</v>
      </c>
      <c r="T442" s="3">
        <v>12163.8</v>
      </c>
      <c r="U442" s="3">
        <v>5705.83</v>
      </c>
      <c r="V442" s="1" t="s">
        <v>43</v>
      </c>
      <c r="W442" s="1" t="s">
        <v>44</v>
      </c>
      <c r="X442" s="3">
        <f>IF(OR(O442="",P442="",R442=""),"",O442*P442*(1-R442))</f>
        <v>17869.63</v>
      </c>
      <c r="Y442" s="3">
        <f>IF(OR(X442="",T442=""),"",X442-T442)</f>
        <v>5705.83</v>
      </c>
      <c r="Z442" s="4">
        <f>IFERROR(Y442/X442,"")</f>
        <v>0.3193</v>
      </c>
      <c r="AA442" s="1">
        <f>IF(OR(C442="",D442=""),"",D442-C442)</f>
        <v>6</v>
      </c>
      <c r="AB442" s="1">
        <f>IF(C442="","",MONTH(C442))</f>
        <v>4</v>
      </c>
      <c r="AC442" s="1">
        <f>IF(C442="","",YEAR(C442))</f>
        <v>2024</v>
      </c>
      <c r="AD442" s="1" t="s">
        <v>45</v>
      </c>
      <c r="AE442" s="1" t="s">
        <v>46</v>
      </c>
      <c r="AF442" s="1" t="s">
        <v>47</v>
      </c>
    </row>
    <row r="443" spans="1:32" s="15" customFormat="1" x14ac:dyDescent="0.25">
      <c r="A443" s="16">
        <v>443</v>
      </c>
      <c r="B443" s="16" t="s">
        <v>1482</v>
      </c>
      <c r="C443" s="17">
        <v>45567.77083333333</v>
      </c>
      <c r="D443" s="17">
        <v>45567.77083333333</v>
      </c>
      <c r="E443" s="16" t="s">
        <v>1483</v>
      </c>
      <c r="F443" s="16" t="s">
        <v>34</v>
      </c>
      <c r="G443" s="16" t="s">
        <v>35</v>
      </c>
      <c r="H443" s="16" t="s">
        <v>52</v>
      </c>
      <c r="I443" s="16" t="s">
        <v>168</v>
      </c>
      <c r="J443" s="16" t="s">
        <v>169</v>
      </c>
      <c r="K443" s="16" t="s">
        <v>55</v>
      </c>
      <c r="L443" s="16" t="s">
        <v>182</v>
      </c>
      <c r="M443" s="16" t="s">
        <v>1484</v>
      </c>
      <c r="N443" s="16" t="s">
        <v>76</v>
      </c>
      <c r="O443" s="16">
        <v>6</v>
      </c>
      <c r="P443" s="18">
        <v>4217.49</v>
      </c>
      <c r="Q443" s="19">
        <v>0</v>
      </c>
      <c r="R443" s="19">
        <v>0</v>
      </c>
      <c r="S443" s="18">
        <v>25304.94</v>
      </c>
      <c r="T443" s="18">
        <v>20771.95</v>
      </c>
      <c r="U443" s="18">
        <v>4532.99</v>
      </c>
      <c r="V443" s="16" t="s">
        <v>43</v>
      </c>
      <c r="W443" s="16" t="s">
        <v>85</v>
      </c>
      <c r="X443" s="18">
        <f>IF(OR(O443="",P443="",R443=""),"",O443*P443*(1-R443))</f>
        <v>25304.94</v>
      </c>
      <c r="Y443" s="18">
        <f>IF(OR(X443="",T443=""),"",X443-T443)</f>
        <v>4532.99</v>
      </c>
      <c r="Z443" s="19">
        <f>IFERROR(Y443/X443,"")</f>
        <v>0.1791</v>
      </c>
      <c r="AA443" s="16">
        <f>IF(OR(C443="",D443=""),"",D443-C443)</f>
        <v>0</v>
      </c>
      <c r="AB443" s="16">
        <f>IF(C443="","",MONTH(C443))</f>
        <v>10</v>
      </c>
      <c r="AC443" s="16">
        <f>IF(C443="","",YEAR(C443))</f>
        <v>2024</v>
      </c>
      <c r="AD443" s="16" t="s">
        <v>86</v>
      </c>
      <c r="AE443" s="16" t="s">
        <v>66</v>
      </c>
      <c r="AF443" s="16" t="s">
        <v>87</v>
      </c>
    </row>
    <row r="444" spans="1:32" x14ac:dyDescent="0.25">
      <c r="A444" s="1">
        <v>444</v>
      </c>
      <c r="B444" s="1" t="s">
        <v>1485</v>
      </c>
      <c r="C444" s="2">
        <v>45668.77083333333</v>
      </c>
      <c r="D444" s="2">
        <v>45675.77083333333</v>
      </c>
      <c r="E444" s="1" t="s">
        <v>1486</v>
      </c>
      <c r="F444" s="1" t="s">
        <v>149</v>
      </c>
      <c r="G444" s="1" t="s">
        <v>35</v>
      </c>
      <c r="H444" s="1" t="s">
        <v>52</v>
      </c>
      <c r="I444" s="1" t="s">
        <v>258</v>
      </c>
      <c r="J444" s="1" t="s">
        <v>259</v>
      </c>
      <c r="K444" s="1" t="s">
        <v>55</v>
      </c>
      <c r="L444" s="1" t="s">
        <v>56</v>
      </c>
      <c r="M444" s="1" t="s">
        <v>1487</v>
      </c>
      <c r="N444" s="1" t="s">
        <v>64</v>
      </c>
      <c r="O444" s="1">
        <v>1</v>
      </c>
      <c r="P444" s="3">
        <v>1842.31</v>
      </c>
      <c r="Q444" s="4">
        <v>0</v>
      </c>
      <c r="R444" s="4">
        <v>0</v>
      </c>
      <c r="S444" s="3">
        <v>1842.31</v>
      </c>
      <c r="T444" s="3">
        <v>1019.17</v>
      </c>
      <c r="U444" s="3">
        <v>823.14</v>
      </c>
      <c r="V444" s="1" t="s">
        <v>43</v>
      </c>
      <c r="W444" s="1" t="s">
        <v>44</v>
      </c>
      <c r="X444" s="3">
        <f>IF(OR(O444="",P444="",R444=""),"",O444*P444*(1-R444))</f>
        <v>1842.31</v>
      </c>
      <c r="Y444" s="3">
        <f>IF(OR(X444="",T444=""),"",X444-T444)</f>
        <v>823.14</v>
      </c>
      <c r="Z444" s="4">
        <f>IFERROR(Y444/X444,"")</f>
        <v>0.4468</v>
      </c>
      <c r="AA444" s="1">
        <f>IF(OR(C444="",D444=""),"",D444-C444)</f>
        <v>7</v>
      </c>
      <c r="AB444" s="1">
        <f>IF(C444="","",MONTH(C444))</f>
        <v>1</v>
      </c>
      <c r="AC444" s="1">
        <f>IF(C444="","",YEAR(C444))</f>
        <v>2025</v>
      </c>
      <c r="AD444" s="1" t="s">
        <v>45</v>
      </c>
      <c r="AE444" s="1" t="s">
        <v>46</v>
      </c>
      <c r="AF444" s="1" t="s">
        <v>47</v>
      </c>
    </row>
    <row r="445" spans="1:32" x14ac:dyDescent="0.25">
      <c r="A445" s="1">
        <v>445</v>
      </c>
      <c r="B445" s="1" t="s">
        <v>1488</v>
      </c>
      <c r="C445" s="2">
        <v>45385.77083333333</v>
      </c>
      <c r="D445" s="2">
        <v>45388.77083333333</v>
      </c>
      <c r="E445" s="1" t="s">
        <v>1489</v>
      </c>
      <c r="F445" s="1" t="s">
        <v>163</v>
      </c>
      <c r="G445" s="1" t="s">
        <v>114</v>
      </c>
      <c r="H445" s="1" t="s">
        <v>52</v>
      </c>
      <c r="I445" s="1" t="s">
        <v>53</v>
      </c>
      <c r="J445" s="1" t="s">
        <v>54</v>
      </c>
      <c r="K445" s="1" t="s">
        <v>55</v>
      </c>
      <c r="L445" s="1" t="s">
        <v>74</v>
      </c>
      <c r="M445" s="1" t="s">
        <v>1490</v>
      </c>
      <c r="N445" s="1" t="s">
        <v>64</v>
      </c>
      <c r="O445" s="1">
        <v>1</v>
      </c>
      <c r="P445" s="3">
        <v>3683.75</v>
      </c>
      <c r="Q445" s="4">
        <v>0.1</v>
      </c>
      <c r="R445" s="4">
        <v>0.1</v>
      </c>
      <c r="S445" s="3">
        <v>3315.38</v>
      </c>
      <c r="T445" s="3">
        <v>2347.68</v>
      </c>
      <c r="U445" s="3">
        <v>967.7</v>
      </c>
      <c r="V445" s="1" t="s">
        <v>43</v>
      </c>
      <c r="W445" s="1" t="s">
        <v>44</v>
      </c>
      <c r="X445" s="3">
        <f>IF(OR(O445="",P445="",R445=""),"",O445*P445*(1-R445))</f>
        <v>3315.38</v>
      </c>
      <c r="Y445" s="3">
        <f>IF(OR(X445="",T445=""),"",X445-T445)</f>
        <v>967.7</v>
      </c>
      <c r="Z445" s="4">
        <f>IFERROR(Y445/X445,"")</f>
        <v>0.2919</v>
      </c>
      <c r="AA445" s="1">
        <f>IF(OR(C445="",D445=""),"",D445-C445)</f>
        <v>3</v>
      </c>
      <c r="AB445" s="1">
        <f>IF(C445="","",MONTH(C445))</f>
        <v>4</v>
      </c>
      <c r="AC445" s="1">
        <f>IF(C445="","",YEAR(C445))</f>
        <v>2024</v>
      </c>
      <c r="AD445" s="1" t="s">
        <v>45</v>
      </c>
      <c r="AE445" s="1" t="s">
        <v>46</v>
      </c>
      <c r="AF445" s="1" t="s">
        <v>47</v>
      </c>
    </row>
    <row r="446" spans="1:32" x14ac:dyDescent="0.25">
      <c r="A446" s="1">
        <v>446</v>
      </c>
      <c r="B446" s="1" t="s">
        <v>1491</v>
      </c>
      <c r="C446" s="2">
        <v>45880.77083333333</v>
      </c>
      <c r="D446" s="2">
        <v>45884.77083333333</v>
      </c>
      <c r="E446" s="1" t="s">
        <v>1492</v>
      </c>
      <c r="F446" s="1" t="s">
        <v>79</v>
      </c>
      <c r="G446" s="1" t="s">
        <v>35</v>
      </c>
      <c r="H446" s="1" t="s">
        <v>52</v>
      </c>
      <c r="I446" s="1" t="s">
        <v>191</v>
      </c>
      <c r="J446" s="1" t="s">
        <v>192</v>
      </c>
      <c r="K446" s="1" t="s">
        <v>93</v>
      </c>
      <c r="L446" s="1" t="s">
        <v>94</v>
      </c>
      <c r="M446" s="1" t="s">
        <v>1493</v>
      </c>
      <c r="N446" s="1" t="s">
        <v>58</v>
      </c>
      <c r="O446" s="1">
        <v>9</v>
      </c>
      <c r="P446" s="3">
        <v>2379.24</v>
      </c>
      <c r="Q446" s="4">
        <v>0.05</v>
      </c>
      <c r="R446" s="4">
        <v>0.05</v>
      </c>
      <c r="S446" s="3">
        <v>20342.5</v>
      </c>
      <c r="T446" s="3">
        <v>12407.51</v>
      </c>
      <c r="U446" s="3">
        <v>7934.99</v>
      </c>
      <c r="V446" s="1" t="s">
        <v>43</v>
      </c>
      <c r="W446" s="1" t="s">
        <v>44</v>
      </c>
      <c r="X446" s="3">
        <f>IF(OR(O446="",P446="",R446=""),"",O446*P446*(1-R446))</f>
        <v>20342.5</v>
      </c>
      <c r="Y446" s="3">
        <f>IF(OR(X446="",T446=""),"",X446-T446)</f>
        <v>7934.99</v>
      </c>
      <c r="Z446" s="4">
        <f>IFERROR(Y446/X446,"")</f>
        <v>0.3901</v>
      </c>
      <c r="AA446" s="1">
        <f>IF(OR(C446="",D446=""),"",D446-C446)</f>
        <v>4</v>
      </c>
      <c r="AB446" s="1">
        <f>IF(C446="","",MONTH(C446))</f>
        <v>8</v>
      </c>
      <c r="AC446" s="1">
        <f>IF(C446="","",YEAR(C446))</f>
        <v>2025</v>
      </c>
      <c r="AD446" s="1" t="s">
        <v>45</v>
      </c>
      <c r="AE446" s="1" t="s">
        <v>46</v>
      </c>
      <c r="AF446" s="1" t="s">
        <v>47</v>
      </c>
    </row>
    <row r="447" spans="1:32" s="10" customFormat="1" x14ac:dyDescent="0.25">
      <c r="A447" s="11">
        <v>447</v>
      </c>
      <c r="B447" s="11" t="s">
        <v>1494</v>
      </c>
      <c r="C447" s="12">
        <v>45420.77083333333</v>
      </c>
      <c r="D447" s="12">
        <v>45416.77083333333</v>
      </c>
      <c r="E447" s="11" t="s">
        <v>1495</v>
      </c>
      <c r="F447" s="11" t="s">
        <v>70</v>
      </c>
      <c r="G447" s="11" t="s">
        <v>35</v>
      </c>
      <c r="H447" s="11" t="s">
        <v>52</v>
      </c>
      <c r="I447" s="11" t="s">
        <v>191</v>
      </c>
      <c r="J447" s="11" t="s">
        <v>192</v>
      </c>
      <c r="K447" s="11" t="s">
        <v>55</v>
      </c>
      <c r="L447" s="11" t="s">
        <v>182</v>
      </c>
      <c r="M447" s="11" t="s">
        <v>1496</v>
      </c>
      <c r="N447" s="11" t="s">
        <v>58</v>
      </c>
      <c r="O447" s="11">
        <v>2</v>
      </c>
      <c r="P447" s="13">
        <v>2111.23</v>
      </c>
      <c r="Q447" s="14">
        <v>0.2</v>
      </c>
      <c r="R447" s="14">
        <v>0.2</v>
      </c>
      <c r="S447" s="13">
        <v>3377.97</v>
      </c>
      <c r="T447" s="13">
        <v>2496.29</v>
      </c>
      <c r="U447" s="13">
        <v>881.68</v>
      </c>
      <c r="V447" s="11" t="s">
        <v>43</v>
      </c>
      <c r="W447" s="11" t="s">
        <v>44</v>
      </c>
      <c r="X447" s="13">
        <f>IF(OR(O447="",P447="",R447=""),"",O447*P447*(1-R447))</f>
        <v>3377.97</v>
      </c>
      <c r="Y447" s="13">
        <f>IF(OR(X447="",T447=""),"",X447-T447)</f>
        <v>881.68</v>
      </c>
      <c r="Z447" s="14">
        <f>IFERROR(Y447/X447,"")</f>
        <v>0.261</v>
      </c>
      <c r="AA447" s="11">
        <f>IF(OR(C447="",D447=""),"",D447-C447)</f>
        <v>-4</v>
      </c>
      <c r="AB447" s="11">
        <f>IF(C447="","",MONTH(C447))</f>
        <v>5</v>
      </c>
      <c r="AC447" s="11">
        <f>IF(C447="","",YEAR(C447))</f>
        <v>2024</v>
      </c>
      <c r="AD447" s="11" t="s">
        <v>65</v>
      </c>
      <c r="AE447" s="11" t="s">
        <v>66</v>
      </c>
      <c r="AF447" s="11" t="s">
        <v>360</v>
      </c>
    </row>
    <row r="448" spans="1:32" x14ac:dyDescent="0.25">
      <c r="A448" s="1">
        <v>448</v>
      </c>
      <c r="B448" s="1" t="s">
        <v>1497</v>
      </c>
      <c r="C448" s="2">
        <v>45917.77083333333</v>
      </c>
      <c r="D448" s="2">
        <v>45918.77083333333</v>
      </c>
      <c r="E448" s="1" t="s">
        <v>1498</v>
      </c>
      <c r="F448" s="1" t="s">
        <v>153</v>
      </c>
      <c r="G448" s="1" t="s">
        <v>114</v>
      </c>
      <c r="H448" s="1" t="s">
        <v>71</v>
      </c>
      <c r="I448" s="1" t="s">
        <v>103</v>
      </c>
      <c r="J448" s="1" t="s">
        <v>104</v>
      </c>
      <c r="K448" s="1" t="s">
        <v>39</v>
      </c>
      <c r="L448" s="1" t="s">
        <v>145</v>
      </c>
      <c r="M448" s="1" t="s">
        <v>1499</v>
      </c>
      <c r="N448" s="1" t="s">
        <v>58</v>
      </c>
      <c r="O448" s="1">
        <v>8</v>
      </c>
      <c r="P448" s="3">
        <v>4242.51</v>
      </c>
      <c r="Q448" s="4">
        <v>0</v>
      </c>
      <c r="R448" s="4">
        <v>0</v>
      </c>
      <c r="S448" s="3">
        <v>33940.08</v>
      </c>
      <c r="T448" s="3">
        <v>23754.19</v>
      </c>
      <c r="U448" s="3">
        <v>10185.89</v>
      </c>
      <c r="V448" s="1" t="s">
        <v>43</v>
      </c>
      <c r="W448" s="1" t="s">
        <v>44</v>
      </c>
      <c r="X448" s="3">
        <f>IF(OR(O448="",P448="",R448=""),"",O448*P448*(1-R448))</f>
        <v>33940.08</v>
      </c>
      <c r="Y448" s="3">
        <f>IF(OR(X448="",T448=""),"",X448-T448)</f>
        <v>10185.89</v>
      </c>
      <c r="Z448" s="4">
        <f>IFERROR(Y448/X448,"")</f>
        <v>0.3001</v>
      </c>
      <c r="AA448" s="1">
        <f>IF(OR(C448="",D448=""),"",D448-C448)</f>
        <v>1</v>
      </c>
      <c r="AB448" s="1">
        <f>IF(C448="","",MONTH(C448))</f>
        <v>9</v>
      </c>
      <c r="AC448" s="1">
        <f>IF(C448="","",YEAR(C448))</f>
        <v>2025</v>
      </c>
      <c r="AD448" s="1" t="s">
        <v>45</v>
      </c>
      <c r="AE448" s="1" t="s">
        <v>46</v>
      </c>
      <c r="AF448" s="1" t="s">
        <v>47</v>
      </c>
    </row>
    <row r="449" spans="1:32" s="15" customFormat="1" x14ac:dyDescent="0.25">
      <c r="A449" s="16">
        <v>449</v>
      </c>
      <c r="B449" s="16" t="s">
        <v>1500</v>
      </c>
      <c r="C449" s="17">
        <v>45878.77083333333</v>
      </c>
      <c r="D449" s="17">
        <v>45878.77083333333</v>
      </c>
      <c r="E449" s="16" t="s">
        <v>1501</v>
      </c>
      <c r="F449" s="16" t="s">
        <v>163</v>
      </c>
      <c r="G449" s="16" t="s">
        <v>114</v>
      </c>
      <c r="H449" s="16" t="s">
        <v>71</v>
      </c>
      <c r="I449" s="16" t="s">
        <v>72</v>
      </c>
      <c r="J449" s="16" t="s">
        <v>73</v>
      </c>
      <c r="K449" s="16" t="s">
        <v>55</v>
      </c>
      <c r="L449" s="16" t="s">
        <v>182</v>
      </c>
      <c r="M449" s="16" t="s">
        <v>1502</v>
      </c>
      <c r="N449" s="16" t="s">
        <v>76</v>
      </c>
      <c r="O449" s="16">
        <v>6</v>
      </c>
      <c r="P449" s="18">
        <v>4288.7</v>
      </c>
      <c r="Q449" s="19">
        <v>0.15</v>
      </c>
      <c r="R449" s="19">
        <v>0.15</v>
      </c>
      <c r="S449" s="18">
        <v>21872.37</v>
      </c>
      <c r="T449" s="18">
        <v>13829.5</v>
      </c>
      <c r="U449" s="18">
        <v>8042.87</v>
      </c>
      <c r="V449" s="16" t="s">
        <v>131</v>
      </c>
      <c r="W449" s="16" t="s">
        <v>122</v>
      </c>
      <c r="X449" s="18">
        <f>IF(OR(O449="",P449="",R449=""),"",O449*P449*(1-R449))</f>
        <v>21872.37</v>
      </c>
      <c r="Y449" s="18">
        <f>IF(OR(X449="",T449=""),"",X449-T449)</f>
        <v>8042.87</v>
      </c>
      <c r="Z449" s="19">
        <f>IFERROR(Y449/X449,"")</f>
        <v>0.3677</v>
      </c>
      <c r="AA449" s="16">
        <f>IF(OR(C449="",D449=""),"",D449-C449)</f>
        <v>0</v>
      </c>
      <c r="AB449" s="16">
        <f>IF(C449="","",MONTH(C449))</f>
        <v>8</v>
      </c>
      <c r="AC449" s="16">
        <f>IF(C449="","",YEAR(C449))</f>
        <v>2025</v>
      </c>
      <c r="AD449" s="16" t="s">
        <v>86</v>
      </c>
      <c r="AE449" s="16" t="s">
        <v>66</v>
      </c>
      <c r="AF449" s="16" t="s">
        <v>132</v>
      </c>
    </row>
    <row r="450" spans="1:32" x14ac:dyDescent="0.25">
      <c r="A450" s="1">
        <v>450</v>
      </c>
      <c r="B450" s="1" t="s">
        <v>1503</v>
      </c>
      <c r="C450" s="2">
        <v>45305.77083333333</v>
      </c>
      <c r="D450" s="2">
        <v>45308.77083333333</v>
      </c>
      <c r="E450" s="1" t="s">
        <v>1504</v>
      </c>
      <c r="F450" s="1" t="s">
        <v>50</v>
      </c>
      <c r="G450" s="1" t="s">
        <v>51</v>
      </c>
      <c r="H450" s="1" t="s">
        <v>71</v>
      </c>
      <c r="I450" s="1" t="s">
        <v>103</v>
      </c>
      <c r="J450" s="1" t="s">
        <v>104</v>
      </c>
      <c r="K450" s="1" t="s">
        <v>55</v>
      </c>
      <c r="L450" s="1" t="s">
        <v>83</v>
      </c>
      <c r="M450" s="1" t="s">
        <v>1505</v>
      </c>
      <c r="N450" s="1" t="s">
        <v>64</v>
      </c>
      <c r="O450" s="1">
        <v>2</v>
      </c>
      <c r="P450" s="3">
        <v>201.21</v>
      </c>
      <c r="Q450" s="4">
        <v>0.15</v>
      </c>
      <c r="R450" s="4">
        <v>0.15</v>
      </c>
      <c r="S450" s="3">
        <v>342.06</v>
      </c>
      <c r="T450" s="3">
        <v>244.57</v>
      </c>
      <c r="U450" s="3">
        <v>97.49</v>
      </c>
      <c r="V450" s="1" t="s">
        <v>43</v>
      </c>
      <c r="W450" s="1" t="s">
        <v>44</v>
      </c>
      <c r="X450" s="3">
        <f>IF(OR(O450="",P450="",R450=""),"",O450*P450*(1-R450))</f>
        <v>342.06</v>
      </c>
      <c r="Y450" s="3">
        <f>IF(OR(X450="",T450=""),"",X450-T450)</f>
        <v>97.49</v>
      </c>
      <c r="Z450" s="4">
        <f>IFERROR(Y450/X450,"")</f>
        <v>0.285</v>
      </c>
      <c r="AA450" s="1">
        <f>IF(OR(C450="",D450=""),"",D450-C450)</f>
        <v>3</v>
      </c>
      <c r="AB450" s="1">
        <f>IF(C450="","",MONTH(C450))</f>
        <v>1</v>
      </c>
      <c r="AC450" s="1">
        <f>IF(C450="","",YEAR(C450))</f>
        <v>2024</v>
      </c>
      <c r="AD450" s="1" t="s">
        <v>45</v>
      </c>
      <c r="AE450" s="1" t="s">
        <v>46</v>
      </c>
      <c r="AF450" s="1" t="s">
        <v>47</v>
      </c>
    </row>
    <row r="451" spans="1:32" x14ac:dyDescent="0.25">
      <c r="A451" s="1">
        <v>451</v>
      </c>
      <c r="B451" s="1" t="s">
        <v>1506</v>
      </c>
      <c r="C451" s="2">
        <v>45448.77083333333</v>
      </c>
      <c r="D451" s="2">
        <v>45455.77083333333</v>
      </c>
      <c r="E451" s="1" t="s">
        <v>1400</v>
      </c>
      <c r="F451" s="1" t="s">
        <v>108</v>
      </c>
      <c r="G451" s="1" t="s">
        <v>109</v>
      </c>
      <c r="H451" s="1" t="s">
        <v>52</v>
      </c>
      <c r="I451" s="1" t="s">
        <v>191</v>
      </c>
      <c r="J451" s="1" t="s">
        <v>192</v>
      </c>
      <c r="K451" s="1" t="s">
        <v>93</v>
      </c>
      <c r="L451" s="1" t="s">
        <v>305</v>
      </c>
      <c r="M451" s="1" t="s">
        <v>1507</v>
      </c>
      <c r="N451" s="1" t="s">
        <v>42</v>
      </c>
      <c r="O451" s="1">
        <v>6</v>
      </c>
      <c r="P451" s="3">
        <v>3270.36</v>
      </c>
      <c r="Q451" s="4">
        <v>0</v>
      </c>
      <c r="R451" s="4">
        <v>0</v>
      </c>
      <c r="S451" s="3">
        <v>19622.16</v>
      </c>
      <c r="T451" s="3">
        <v>14271.27</v>
      </c>
      <c r="U451" s="3">
        <v>5350.89</v>
      </c>
      <c r="V451" s="1" t="s">
        <v>43</v>
      </c>
      <c r="W451" s="1" t="s">
        <v>44</v>
      </c>
      <c r="X451" s="3">
        <f>IF(OR(O451="",P451="",R451=""),"",O451*P451*(1-R451))</f>
        <v>19622.16</v>
      </c>
      <c r="Y451" s="3">
        <f>IF(OR(X451="",T451=""),"",X451-T451)</f>
        <v>5350.89</v>
      </c>
      <c r="Z451" s="4">
        <f>IFERROR(Y451/X451,"")</f>
        <v>0.2727</v>
      </c>
      <c r="AA451" s="1">
        <f>IF(OR(C451="",D451=""),"",D451-C451)</f>
        <v>7</v>
      </c>
      <c r="AB451" s="1">
        <f>IF(C451="","",MONTH(C451))</f>
        <v>6</v>
      </c>
      <c r="AC451" s="1">
        <f>IF(C451="","",YEAR(C451))</f>
        <v>2024</v>
      </c>
      <c r="AD451" s="1" t="s">
        <v>45</v>
      </c>
      <c r="AE451" s="1" t="s">
        <v>46</v>
      </c>
      <c r="AF451" s="1" t="s">
        <v>47</v>
      </c>
    </row>
    <row r="452" spans="1:32" x14ac:dyDescent="0.25">
      <c r="A452" s="1">
        <v>452</v>
      </c>
      <c r="B452" s="1" t="s">
        <v>1508</v>
      </c>
      <c r="C452" s="2">
        <v>45819.77083333333</v>
      </c>
      <c r="D452" s="2">
        <v>45826.77083333333</v>
      </c>
      <c r="E452" s="1" t="s">
        <v>1509</v>
      </c>
      <c r="F452" s="1" t="s">
        <v>79</v>
      </c>
      <c r="G452" s="1" t="s">
        <v>109</v>
      </c>
      <c r="H452" s="1" t="s">
        <v>36</v>
      </c>
      <c r="I452" s="1" t="s">
        <v>384</v>
      </c>
      <c r="J452" s="1" t="s">
        <v>385</v>
      </c>
      <c r="K452" s="1" t="s">
        <v>55</v>
      </c>
      <c r="L452" s="1" t="s">
        <v>83</v>
      </c>
      <c r="M452" s="1" t="s">
        <v>1510</v>
      </c>
      <c r="N452" s="1" t="s">
        <v>76</v>
      </c>
      <c r="O452" s="1">
        <v>9</v>
      </c>
      <c r="P452" s="3">
        <v>2278.57</v>
      </c>
      <c r="Q452" s="4">
        <v>0.25</v>
      </c>
      <c r="R452" s="4">
        <v>0.25</v>
      </c>
      <c r="S452" s="3">
        <v>15380.35</v>
      </c>
      <c r="T452" s="3">
        <v>9907.37</v>
      </c>
      <c r="U452" s="3">
        <v>5472.98</v>
      </c>
      <c r="V452" s="1" t="s">
        <v>43</v>
      </c>
      <c r="W452" s="1" t="s">
        <v>44</v>
      </c>
      <c r="X452" s="3">
        <f>IF(OR(O452="",P452="",R452=""),"",O452*P452*(1-R452))</f>
        <v>15380.35</v>
      </c>
      <c r="Y452" s="3">
        <f>IF(OR(X452="",T452=""),"",X452-T452)</f>
        <v>5472.98</v>
      </c>
      <c r="Z452" s="4">
        <f>IFERROR(Y452/X452,"")</f>
        <v>0.3558</v>
      </c>
      <c r="AA452" s="1">
        <f>IF(OR(C452="",D452=""),"",D452-C452)</f>
        <v>7</v>
      </c>
      <c r="AB452" s="1">
        <f>IF(C452="","",MONTH(C452))</f>
        <v>6</v>
      </c>
      <c r="AC452" s="1">
        <f>IF(C452="","",YEAR(C452))</f>
        <v>2025</v>
      </c>
      <c r="AD452" s="1" t="s">
        <v>45</v>
      </c>
      <c r="AE452" s="1" t="s">
        <v>46</v>
      </c>
      <c r="AF452" s="1" t="s">
        <v>47</v>
      </c>
    </row>
    <row r="453" spans="1:32" s="15" customFormat="1" x14ac:dyDescent="0.25">
      <c r="A453" s="16">
        <v>453</v>
      </c>
      <c r="B453" s="16" t="s">
        <v>1511</v>
      </c>
      <c r="C453" s="17">
        <v>45374.77083333333</v>
      </c>
      <c r="D453" s="17">
        <v>45376.77083333333</v>
      </c>
      <c r="E453" s="16" t="s">
        <v>1512</v>
      </c>
      <c r="F453" s="16" t="s">
        <v>163</v>
      </c>
      <c r="G453" s="16" t="s">
        <v>51</v>
      </c>
      <c r="H453" s="16" t="s">
        <v>36</v>
      </c>
      <c r="I453" s="16" t="s">
        <v>266</v>
      </c>
      <c r="J453" s="16" t="s">
        <v>267</v>
      </c>
      <c r="K453" s="16" t="s">
        <v>39</v>
      </c>
      <c r="L453" s="16" t="s">
        <v>40</v>
      </c>
      <c r="M453" s="16" t="s">
        <v>1513</v>
      </c>
      <c r="N453" s="16" t="s">
        <v>42</v>
      </c>
      <c r="O453" s="16">
        <v>8</v>
      </c>
      <c r="P453" s="18">
        <v>1917.64</v>
      </c>
      <c r="Q453" s="19">
        <v>0.15</v>
      </c>
      <c r="R453" s="19">
        <v>0.15</v>
      </c>
      <c r="S453" s="18">
        <v>13039.95</v>
      </c>
      <c r="T453" s="18">
        <v>11127.82</v>
      </c>
      <c r="U453" s="18">
        <v>1912.13</v>
      </c>
      <c r="V453" s="16" t="s">
        <v>43</v>
      </c>
      <c r="W453" s="16" t="s">
        <v>85</v>
      </c>
      <c r="X453" s="18">
        <f>IF(OR(O453="",P453="",R453=""),"",O453*P453*(1-R453))</f>
        <v>13039.95</v>
      </c>
      <c r="Y453" s="18">
        <f>IF(OR(X453="",T453=""),"",X453-T453)</f>
        <v>1912.13</v>
      </c>
      <c r="Z453" s="19">
        <f>IFERROR(Y453/X453,"")</f>
        <v>0.1466</v>
      </c>
      <c r="AA453" s="16">
        <f>IF(OR(C453="",D453=""),"",D453-C453)</f>
        <v>2</v>
      </c>
      <c r="AB453" s="16">
        <f>IF(C453="","",MONTH(C453))</f>
        <v>3</v>
      </c>
      <c r="AC453" s="16">
        <f>IF(C453="","",YEAR(C453))</f>
        <v>2024</v>
      </c>
      <c r="AD453" s="16" t="s">
        <v>86</v>
      </c>
      <c r="AE453" s="16" t="s">
        <v>66</v>
      </c>
      <c r="AF453" s="16" t="s">
        <v>87</v>
      </c>
    </row>
    <row r="454" spans="1:32" x14ac:dyDescent="0.25">
      <c r="A454" s="1">
        <v>454</v>
      </c>
      <c r="B454" s="1" t="s">
        <v>1514</v>
      </c>
      <c r="C454" s="2">
        <v>45421.77083333333</v>
      </c>
      <c r="D454" s="2">
        <v>45427.77083333333</v>
      </c>
      <c r="E454" s="1" t="s">
        <v>1515</v>
      </c>
      <c r="F454" s="1" t="s">
        <v>186</v>
      </c>
      <c r="G454" s="1" t="s">
        <v>114</v>
      </c>
      <c r="H454" s="1" t="s">
        <v>52</v>
      </c>
      <c r="I454" s="1" t="s">
        <v>258</v>
      </c>
      <c r="J454" s="1" t="s">
        <v>259</v>
      </c>
      <c r="K454" s="1" t="s">
        <v>93</v>
      </c>
      <c r="L454" s="1" t="s">
        <v>94</v>
      </c>
      <c r="M454" s="1" t="s">
        <v>1516</v>
      </c>
      <c r="N454" s="1" t="s">
        <v>42</v>
      </c>
      <c r="O454" s="1">
        <v>6</v>
      </c>
      <c r="P454" s="3">
        <v>2013.33</v>
      </c>
      <c r="Q454" s="4">
        <v>0.2</v>
      </c>
      <c r="R454" s="4">
        <v>0.2</v>
      </c>
      <c r="S454" s="3">
        <v>9663.98</v>
      </c>
      <c r="T454" s="3">
        <v>5628.93</v>
      </c>
      <c r="U454" s="3">
        <v>4035.05</v>
      </c>
      <c r="V454" s="1" t="s">
        <v>43</v>
      </c>
      <c r="W454" s="1" t="s">
        <v>44</v>
      </c>
      <c r="X454" s="3">
        <f>IF(OR(O454="",P454="",R454=""),"",O454*P454*(1-R454))</f>
        <v>9663.98</v>
      </c>
      <c r="Y454" s="3">
        <f>IF(OR(X454="",T454=""),"",X454-T454)</f>
        <v>4035.05</v>
      </c>
      <c r="Z454" s="4">
        <f>IFERROR(Y454/X454,"")</f>
        <v>0.4175</v>
      </c>
      <c r="AA454" s="1">
        <f>IF(OR(C454="",D454=""),"",D454-C454)</f>
        <v>6</v>
      </c>
      <c r="AB454" s="1">
        <f>IF(C454="","",MONTH(C454))</f>
        <v>5</v>
      </c>
      <c r="AC454" s="1">
        <f>IF(C454="","",YEAR(C454))</f>
        <v>2024</v>
      </c>
      <c r="AD454" s="1" t="s">
        <v>45</v>
      </c>
      <c r="AE454" s="1" t="s">
        <v>46</v>
      </c>
      <c r="AF454" s="1" t="s">
        <v>47</v>
      </c>
    </row>
    <row r="455" spans="1:32" x14ac:dyDescent="0.25">
      <c r="A455" s="1">
        <v>455</v>
      </c>
      <c r="B455" s="1" t="s">
        <v>1517</v>
      </c>
      <c r="C455" s="2">
        <v>45779.77083333333</v>
      </c>
      <c r="D455" s="2">
        <v>45787.77083333333</v>
      </c>
      <c r="E455" s="1" t="s">
        <v>1518</v>
      </c>
      <c r="F455" s="1" t="s">
        <v>163</v>
      </c>
      <c r="G455" s="1" t="s">
        <v>51</v>
      </c>
      <c r="H455" s="1" t="s">
        <v>80</v>
      </c>
      <c r="I455" s="1" t="s">
        <v>91</v>
      </c>
      <c r="J455" s="1" t="s">
        <v>92</v>
      </c>
      <c r="K455" s="1" t="s">
        <v>39</v>
      </c>
      <c r="L455" s="1" t="s">
        <v>110</v>
      </c>
      <c r="M455" s="1" t="s">
        <v>1519</v>
      </c>
      <c r="N455" s="1" t="s">
        <v>58</v>
      </c>
      <c r="O455" s="1">
        <v>5</v>
      </c>
      <c r="P455" s="3">
        <v>1483.52</v>
      </c>
      <c r="Q455" s="4">
        <v>0</v>
      </c>
      <c r="R455" s="4">
        <v>0</v>
      </c>
      <c r="S455" s="3">
        <v>7417.6</v>
      </c>
      <c r="T455" s="3">
        <v>4955.86</v>
      </c>
      <c r="U455" s="3">
        <v>2461.74</v>
      </c>
      <c r="V455" s="1" t="s">
        <v>43</v>
      </c>
      <c r="W455" s="1" t="s">
        <v>44</v>
      </c>
      <c r="X455" s="3">
        <f>IF(OR(O455="",P455="",R455=""),"",O455*P455*(1-R455))</f>
        <v>7417.6</v>
      </c>
      <c r="Y455" s="3">
        <f>IF(OR(X455="",T455=""),"",X455-T455)</f>
        <v>2461.74</v>
      </c>
      <c r="Z455" s="4">
        <f>IFERROR(Y455/X455,"")</f>
        <v>0.3319</v>
      </c>
      <c r="AA455" s="1">
        <f>IF(OR(C455="",D455=""),"",D455-C455)</f>
        <v>8</v>
      </c>
      <c r="AB455" s="1">
        <f>IF(C455="","",MONTH(C455))</f>
        <v>5</v>
      </c>
      <c r="AC455" s="1">
        <f>IF(C455="","",YEAR(C455))</f>
        <v>2025</v>
      </c>
      <c r="AD455" s="1" t="s">
        <v>45</v>
      </c>
      <c r="AE455" s="1" t="s">
        <v>46</v>
      </c>
      <c r="AF455" s="1" t="s">
        <v>47</v>
      </c>
    </row>
    <row r="456" spans="1:32" x14ac:dyDescent="0.25">
      <c r="A456" s="1">
        <v>456</v>
      </c>
      <c r="B456" s="1" t="s">
        <v>1520</v>
      </c>
      <c r="C456" s="2">
        <v>45738.77083333333</v>
      </c>
      <c r="D456" s="2">
        <v>45743.77083333333</v>
      </c>
      <c r="E456" s="1" t="s">
        <v>1521</v>
      </c>
      <c r="F456" s="1" t="s">
        <v>90</v>
      </c>
      <c r="G456" s="1" t="s">
        <v>51</v>
      </c>
      <c r="H456" s="1" t="s">
        <v>36</v>
      </c>
      <c r="I456" s="1" t="s">
        <v>37</v>
      </c>
      <c r="J456" s="1" t="s">
        <v>38</v>
      </c>
      <c r="K456" s="1" t="s">
        <v>55</v>
      </c>
      <c r="L456" s="1" t="s">
        <v>74</v>
      </c>
      <c r="M456" s="1" t="s">
        <v>1522</v>
      </c>
      <c r="N456" s="1" t="s">
        <v>76</v>
      </c>
      <c r="O456" s="1">
        <v>9</v>
      </c>
      <c r="P456" s="3">
        <v>3298</v>
      </c>
      <c r="Q456" s="4">
        <v>0.15</v>
      </c>
      <c r="R456" s="4">
        <v>0.15</v>
      </c>
      <c r="S456" s="3">
        <v>25229.7</v>
      </c>
      <c r="T456" s="3">
        <v>20170.43</v>
      </c>
      <c r="U456" s="3">
        <v>5059.27</v>
      </c>
      <c r="V456" s="1" t="s">
        <v>43</v>
      </c>
      <c r="W456" s="1" t="s">
        <v>44</v>
      </c>
      <c r="X456" s="3">
        <f>IF(OR(O456="",P456="",R456=""),"",O456*P456*(1-R456))</f>
        <v>25229.7</v>
      </c>
      <c r="Y456" s="3">
        <f>IF(OR(X456="",T456=""),"",X456-T456)</f>
        <v>5059.27</v>
      </c>
      <c r="Z456" s="4">
        <f>IFERROR(Y456/X456,"")</f>
        <v>0.2005</v>
      </c>
      <c r="AA456" s="1">
        <f>IF(OR(C456="",D456=""),"",D456-C456)</f>
        <v>5</v>
      </c>
      <c r="AB456" s="1">
        <f>IF(C456="","",MONTH(C456))</f>
        <v>3</v>
      </c>
      <c r="AC456" s="1">
        <f>IF(C456="","",YEAR(C456))</f>
        <v>2025</v>
      </c>
      <c r="AD456" s="1" t="s">
        <v>45</v>
      </c>
      <c r="AE456" s="1" t="s">
        <v>46</v>
      </c>
      <c r="AF456" s="1" t="s">
        <v>47</v>
      </c>
    </row>
    <row r="457" spans="1:32" x14ac:dyDescent="0.25">
      <c r="A457" s="1">
        <v>457</v>
      </c>
      <c r="B457" s="1" t="s">
        <v>1523</v>
      </c>
      <c r="C457" s="2">
        <v>45490.77083333333</v>
      </c>
      <c r="D457" s="2">
        <v>45494.77083333333</v>
      </c>
      <c r="E457" s="1" t="s">
        <v>1524</v>
      </c>
      <c r="F457" s="1" t="s">
        <v>98</v>
      </c>
      <c r="G457" s="1" t="s">
        <v>51</v>
      </c>
      <c r="H457" s="1" t="s">
        <v>71</v>
      </c>
      <c r="I457" s="1" t="s">
        <v>72</v>
      </c>
      <c r="J457" s="1" t="s">
        <v>73</v>
      </c>
      <c r="K457" s="1" t="s">
        <v>39</v>
      </c>
      <c r="L457" s="1" t="s">
        <v>62</v>
      </c>
      <c r="M457" s="1" t="s">
        <v>1525</v>
      </c>
      <c r="N457" s="1" t="s">
        <v>76</v>
      </c>
      <c r="O457" s="1">
        <v>4</v>
      </c>
      <c r="P457" s="3">
        <v>808.77</v>
      </c>
      <c r="Q457" s="4">
        <v>0</v>
      </c>
      <c r="R457" s="4">
        <v>0</v>
      </c>
      <c r="S457" s="3">
        <v>3235.08</v>
      </c>
      <c r="T457" s="3">
        <v>1848.6</v>
      </c>
      <c r="U457" s="3">
        <v>1386.48</v>
      </c>
      <c r="V457" s="1" t="s">
        <v>43</v>
      </c>
      <c r="W457" s="1" t="s">
        <v>44</v>
      </c>
      <c r="X457" s="3">
        <f>IF(OR(O457="",P457="",R457=""),"",O457*P457*(1-R457))</f>
        <v>3235.08</v>
      </c>
      <c r="Y457" s="3">
        <f>IF(OR(X457="",T457=""),"",X457-T457)</f>
        <v>1386.48</v>
      </c>
      <c r="Z457" s="4">
        <f>IFERROR(Y457/X457,"")</f>
        <v>0.4286</v>
      </c>
      <c r="AA457" s="1">
        <f>IF(OR(C457="",D457=""),"",D457-C457)</f>
        <v>4</v>
      </c>
      <c r="AB457" s="1">
        <f>IF(C457="","",MONTH(C457))</f>
        <v>7</v>
      </c>
      <c r="AC457" s="1">
        <f>IF(C457="","",YEAR(C457))</f>
        <v>2024</v>
      </c>
      <c r="AD457" s="1" t="s">
        <v>45</v>
      </c>
      <c r="AE457" s="1" t="s">
        <v>46</v>
      </c>
      <c r="AF457" s="1" t="s">
        <v>47</v>
      </c>
    </row>
    <row r="458" spans="1:32" s="15" customFormat="1" x14ac:dyDescent="0.25">
      <c r="A458" s="16">
        <v>458</v>
      </c>
      <c r="B458" s="16" t="s">
        <v>1526</v>
      </c>
      <c r="C458" s="17">
        <v>45341.77083333333</v>
      </c>
      <c r="D458" s="17">
        <v>45341.77083333333</v>
      </c>
      <c r="E458" s="16" t="s">
        <v>1527</v>
      </c>
      <c r="F458" s="16" t="s">
        <v>98</v>
      </c>
      <c r="G458" s="16" t="s">
        <v>109</v>
      </c>
      <c r="H458" s="16" t="s">
        <v>36</v>
      </c>
      <c r="I458" s="16" t="s">
        <v>157</v>
      </c>
      <c r="J458" s="16" t="s">
        <v>158</v>
      </c>
      <c r="K458" s="16" t="s">
        <v>93</v>
      </c>
      <c r="L458" s="16" t="s">
        <v>94</v>
      </c>
      <c r="M458" s="16" t="s">
        <v>1528</v>
      </c>
      <c r="N458" s="16" t="s">
        <v>58</v>
      </c>
      <c r="O458" s="16">
        <v>5</v>
      </c>
      <c r="P458" s="18">
        <v>2604.91</v>
      </c>
      <c r="Q458" s="19">
        <v>0.15</v>
      </c>
      <c r="R458" s="19">
        <v>0.15</v>
      </c>
      <c r="S458" s="18">
        <v>11070.87</v>
      </c>
      <c r="T458" s="18">
        <v>6623.61</v>
      </c>
      <c r="U458" s="18">
        <v>4447.26</v>
      </c>
      <c r="V458" s="16" t="s">
        <v>43</v>
      </c>
      <c r="W458" s="16" t="s">
        <v>122</v>
      </c>
      <c r="X458" s="18">
        <f>IF(OR(O458="",P458="",R458=""),"",O458*P458*(1-R458))</f>
        <v>11070.87</v>
      </c>
      <c r="Y458" s="18">
        <f>IF(OR(X458="",T458=""),"",X458-T458)</f>
        <v>4447.26</v>
      </c>
      <c r="Z458" s="19">
        <f>IFERROR(Y458/X458,"")</f>
        <v>0.4017</v>
      </c>
      <c r="AA458" s="16">
        <f>IF(OR(C458="",D458=""),"",D458-C458)</f>
        <v>0</v>
      </c>
      <c r="AB458" s="16">
        <f>IF(C458="","",MONTH(C458))</f>
        <v>2</v>
      </c>
      <c r="AC458" s="16">
        <f>IF(C458="","",YEAR(C458))</f>
        <v>2024</v>
      </c>
      <c r="AD458" s="16" t="s">
        <v>86</v>
      </c>
      <c r="AE458" s="16" t="s">
        <v>66</v>
      </c>
      <c r="AF458" s="16" t="s">
        <v>198</v>
      </c>
    </row>
    <row r="459" spans="1:32" x14ac:dyDescent="0.25">
      <c r="A459" s="1">
        <v>459</v>
      </c>
      <c r="B459" s="1" t="s">
        <v>1529</v>
      </c>
      <c r="C459" s="2">
        <v>45415.77083333333</v>
      </c>
      <c r="D459" s="2">
        <v>45415.77083333333</v>
      </c>
      <c r="E459" s="1" t="s">
        <v>1530</v>
      </c>
      <c r="F459" s="1" t="s">
        <v>50</v>
      </c>
      <c r="G459" s="1" t="s">
        <v>51</v>
      </c>
      <c r="H459" s="1" t="s">
        <v>80</v>
      </c>
      <c r="I459" s="1" t="s">
        <v>216</v>
      </c>
      <c r="J459" s="1" t="s">
        <v>217</v>
      </c>
      <c r="K459" s="1" t="s">
        <v>55</v>
      </c>
      <c r="L459" s="1" t="s">
        <v>56</v>
      </c>
      <c r="M459" s="1" t="s">
        <v>1531</v>
      </c>
      <c r="N459" s="1" t="s">
        <v>76</v>
      </c>
      <c r="O459" s="1">
        <v>7</v>
      </c>
      <c r="P459" s="3">
        <v>2851.51</v>
      </c>
      <c r="Q459" s="4">
        <v>0</v>
      </c>
      <c r="R459" s="4">
        <v>0</v>
      </c>
      <c r="S459" s="3">
        <v>19960.57</v>
      </c>
      <c r="T459" s="3">
        <v>16603.6</v>
      </c>
      <c r="U459" s="3">
        <v>3356.97</v>
      </c>
      <c r="V459" s="1" t="s">
        <v>43</v>
      </c>
      <c r="W459" s="1" t="s">
        <v>44</v>
      </c>
      <c r="X459" s="3">
        <f>IF(OR(O459="",P459="",R459=""),"",O459*P459*(1-R459))</f>
        <v>19960.57</v>
      </c>
      <c r="Y459" s="3">
        <f>IF(OR(X459="",T459=""),"",X459-T459)</f>
        <v>3356.97</v>
      </c>
      <c r="Z459" s="4">
        <f>IFERROR(Y459/X459,"")</f>
        <v>0.1682</v>
      </c>
      <c r="AA459" s="1">
        <f>IF(OR(C459="",D459=""),"",D459-C459)</f>
        <v>0</v>
      </c>
      <c r="AB459" s="1">
        <f>IF(C459="","",MONTH(C459))</f>
        <v>5</v>
      </c>
      <c r="AC459" s="1">
        <f>IF(C459="","",YEAR(C459))</f>
        <v>2024</v>
      </c>
      <c r="AD459" s="1" t="s">
        <v>45</v>
      </c>
      <c r="AE459" s="1" t="s">
        <v>46</v>
      </c>
      <c r="AF459" s="1" t="s">
        <v>47</v>
      </c>
    </row>
    <row r="460" spans="1:32" x14ac:dyDescent="0.25">
      <c r="A460" s="1">
        <v>460</v>
      </c>
      <c r="B460" s="1" t="s">
        <v>1532</v>
      </c>
      <c r="C460" s="2">
        <v>45331.77083333333</v>
      </c>
      <c r="D460" s="2">
        <v>45332.77083333333</v>
      </c>
      <c r="E460" s="1" t="s">
        <v>1533</v>
      </c>
      <c r="F460" s="1" t="s">
        <v>34</v>
      </c>
      <c r="G460" s="1" t="s">
        <v>109</v>
      </c>
      <c r="H460" s="1" t="s">
        <v>36</v>
      </c>
      <c r="I460" s="1" t="s">
        <v>37</v>
      </c>
      <c r="J460" s="1" t="s">
        <v>38</v>
      </c>
      <c r="K460" s="1" t="s">
        <v>93</v>
      </c>
      <c r="L460" s="1" t="s">
        <v>196</v>
      </c>
      <c r="M460" s="1" t="s">
        <v>1534</v>
      </c>
      <c r="N460" s="1" t="s">
        <v>42</v>
      </c>
      <c r="O460" s="1">
        <v>3</v>
      </c>
      <c r="P460" s="3">
        <v>3183.72</v>
      </c>
      <c r="Q460" s="4">
        <v>0.1</v>
      </c>
      <c r="R460" s="4">
        <v>0.1</v>
      </c>
      <c r="S460" s="3">
        <v>8596.04</v>
      </c>
      <c r="T460" s="3">
        <v>5378.16</v>
      </c>
      <c r="U460" s="3">
        <v>3217.88</v>
      </c>
      <c r="V460" s="1" t="s">
        <v>43</v>
      </c>
      <c r="W460" s="1" t="s">
        <v>44</v>
      </c>
      <c r="X460" s="3">
        <f>IF(OR(O460="",P460="",R460=""),"",O460*P460*(1-R460))</f>
        <v>8596.04</v>
      </c>
      <c r="Y460" s="3">
        <f>IF(OR(X460="",T460=""),"",X460-T460)</f>
        <v>3217.88</v>
      </c>
      <c r="Z460" s="4">
        <f>IFERROR(Y460/X460,"")</f>
        <v>0.3743</v>
      </c>
      <c r="AA460" s="1">
        <f>IF(OR(C460="",D460=""),"",D460-C460)</f>
        <v>1</v>
      </c>
      <c r="AB460" s="1">
        <f>IF(C460="","",MONTH(C460))</f>
        <v>2</v>
      </c>
      <c r="AC460" s="1">
        <f>IF(C460="","",YEAR(C460))</f>
        <v>2024</v>
      </c>
      <c r="AD460" s="1" t="s">
        <v>45</v>
      </c>
      <c r="AE460" s="1" t="s">
        <v>46</v>
      </c>
      <c r="AF460" s="1" t="s">
        <v>47</v>
      </c>
    </row>
    <row r="461" spans="1:32" x14ac:dyDescent="0.25">
      <c r="A461" s="1">
        <v>461</v>
      </c>
      <c r="B461" s="1" t="s">
        <v>1535</v>
      </c>
      <c r="C461" s="2">
        <v>45378.77083333333</v>
      </c>
      <c r="D461" s="2">
        <v>45385.77083333333</v>
      </c>
      <c r="E461" s="1" t="s">
        <v>1536</v>
      </c>
      <c r="F461" s="1" t="s">
        <v>79</v>
      </c>
      <c r="G461" s="1" t="s">
        <v>114</v>
      </c>
      <c r="H461" s="1" t="s">
        <v>80</v>
      </c>
      <c r="I461" s="1" t="s">
        <v>216</v>
      </c>
      <c r="J461" s="1" t="s">
        <v>217</v>
      </c>
      <c r="K461" s="1" t="s">
        <v>39</v>
      </c>
      <c r="L461" s="1" t="s">
        <v>40</v>
      </c>
      <c r="M461" s="1" t="s">
        <v>1537</v>
      </c>
      <c r="N461" s="1" t="s">
        <v>64</v>
      </c>
      <c r="O461" s="1">
        <v>3</v>
      </c>
      <c r="P461" s="3">
        <v>1150.92</v>
      </c>
      <c r="Q461" s="4">
        <v>0</v>
      </c>
      <c r="R461" s="4">
        <v>0</v>
      </c>
      <c r="S461" s="3">
        <v>3452.76</v>
      </c>
      <c r="T461" s="3">
        <v>2077.96</v>
      </c>
      <c r="U461" s="3">
        <v>1374.8</v>
      </c>
      <c r="V461" s="1" t="s">
        <v>43</v>
      </c>
      <c r="W461" s="1" t="s">
        <v>44</v>
      </c>
      <c r="X461" s="3">
        <f>IF(OR(O461="",P461="",R461=""),"",O461*P461*(1-R461))</f>
        <v>3452.76</v>
      </c>
      <c r="Y461" s="3">
        <f>IF(OR(X461="",T461=""),"",X461-T461)</f>
        <v>1374.8</v>
      </c>
      <c r="Z461" s="4">
        <f>IFERROR(Y461/X461,"")</f>
        <v>0.3982</v>
      </c>
      <c r="AA461" s="1">
        <f>IF(OR(C461="",D461=""),"",D461-C461)</f>
        <v>7</v>
      </c>
      <c r="AB461" s="1">
        <f>IF(C461="","",MONTH(C461))</f>
        <v>3</v>
      </c>
      <c r="AC461" s="1">
        <f>IF(C461="","",YEAR(C461))</f>
        <v>2024</v>
      </c>
      <c r="AD461" s="1" t="s">
        <v>45</v>
      </c>
      <c r="AE461" s="1" t="s">
        <v>46</v>
      </c>
      <c r="AF461" s="1" t="s">
        <v>47</v>
      </c>
    </row>
    <row r="462" spans="1:32" s="15" customFormat="1" x14ac:dyDescent="0.25">
      <c r="A462" s="16">
        <v>462</v>
      </c>
      <c r="B462" s="16" t="s">
        <v>1538</v>
      </c>
      <c r="C462" s="17">
        <v>45929.77083333333</v>
      </c>
      <c r="D462" s="17">
        <v>45935.77083333333</v>
      </c>
      <c r="E462" s="16" t="s">
        <v>1539</v>
      </c>
      <c r="F462" s="16" t="s">
        <v>149</v>
      </c>
      <c r="G462" s="16" t="s">
        <v>109</v>
      </c>
      <c r="H462" s="16" t="s">
        <v>232</v>
      </c>
      <c r="I462" s="16" t="s">
        <v>37</v>
      </c>
      <c r="J462" s="16" t="s">
        <v>38</v>
      </c>
      <c r="K462" s="16" t="s">
        <v>93</v>
      </c>
      <c r="L462" s="16" t="s">
        <v>99</v>
      </c>
      <c r="M462" s="16" t="s">
        <v>1540</v>
      </c>
      <c r="N462" s="16" t="s">
        <v>42</v>
      </c>
      <c r="O462" s="16">
        <v>9</v>
      </c>
      <c r="P462" s="18">
        <v>1359.88</v>
      </c>
      <c r="Q462" s="19">
        <v>0.05</v>
      </c>
      <c r="R462" s="19">
        <v>0.05</v>
      </c>
      <c r="S462" s="18">
        <v>11626.97</v>
      </c>
      <c r="T462" s="18">
        <v>7394.07</v>
      </c>
      <c r="U462" s="18">
        <v>4232.9</v>
      </c>
      <c r="V462" s="16" t="s">
        <v>43</v>
      </c>
      <c r="W462" s="16" t="s">
        <v>44</v>
      </c>
      <c r="X462" s="18">
        <f>IF(OR(O462="",P462="",R462=""),"",O462*P462*(1-R462))</f>
        <v>11626.97</v>
      </c>
      <c r="Y462" s="18">
        <f>IF(OR(X462="",T462=""),"",X462-T462)</f>
        <v>4232.9</v>
      </c>
      <c r="Z462" s="19">
        <f>IFERROR(Y462/X462,"")</f>
        <v>0.3641</v>
      </c>
      <c r="AA462" s="16">
        <f>IF(OR(C462="",D462=""),"",D462-C462)</f>
        <v>6</v>
      </c>
      <c r="AB462" s="16">
        <f>IF(C462="","",MONTH(C462))</f>
        <v>9</v>
      </c>
      <c r="AC462" s="16">
        <f>IF(C462="","",YEAR(C462))</f>
        <v>2025</v>
      </c>
      <c r="AD462" s="16" t="s">
        <v>86</v>
      </c>
      <c r="AE462" s="16" t="s">
        <v>46</v>
      </c>
      <c r="AF462" s="16" t="s">
        <v>487</v>
      </c>
    </row>
    <row r="463" spans="1:32" x14ac:dyDescent="0.25">
      <c r="A463" s="1">
        <v>463</v>
      </c>
      <c r="B463" s="1" t="s">
        <v>1541</v>
      </c>
      <c r="C463" s="2">
        <v>45801.77083333333</v>
      </c>
      <c r="D463" s="2">
        <v>45802.77083333333</v>
      </c>
      <c r="E463" s="1" t="s">
        <v>1542</v>
      </c>
      <c r="F463" s="1" t="s">
        <v>98</v>
      </c>
      <c r="G463" s="1" t="s">
        <v>109</v>
      </c>
      <c r="H463" s="1" t="s">
        <v>71</v>
      </c>
      <c r="I463" s="1" t="s">
        <v>103</v>
      </c>
      <c r="J463" s="1" t="s">
        <v>104</v>
      </c>
      <c r="K463" s="1" t="s">
        <v>39</v>
      </c>
      <c r="L463" s="1" t="s">
        <v>40</v>
      </c>
      <c r="M463" s="1" t="s">
        <v>1543</v>
      </c>
      <c r="N463" s="1" t="s">
        <v>76</v>
      </c>
      <c r="O463" s="1">
        <v>3</v>
      </c>
      <c r="P463" s="3">
        <v>3378.15</v>
      </c>
      <c r="Q463" s="4">
        <v>0.15</v>
      </c>
      <c r="R463" s="4">
        <v>0.15</v>
      </c>
      <c r="S463" s="3">
        <v>8614.28</v>
      </c>
      <c r="T463" s="3">
        <v>7052.08</v>
      </c>
      <c r="U463" s="3">
        <v>1562.2</v>
      </c>
      <c r="V463" s="1" t="s">
        <v>43</v>
      </c>
      <c r="W463" s="1" t="s">
        <v>44</v>
      </c>
      <c r="X463" s="3">
        <f>IF(OR(O463="",P463="",R463=""),"",O463*P463*(1-R463))</f>
        <v>8614.28</v>
      </c>
      <c r="Y463" s="3">
        <f>IF(OR(X463="",T463=""),"",X463-T463)</f>
        <v>1562.2</v>
      </c>
      <c r="Z463" s="4">
        <f>IFERROR(Y463/X463,"")</f>
        <v>0.1814</v>
      </c>
      <c r="AA463" s="1">
        <f>IF(OR(C463="",D463=""),"",D463-C463)</f>
        <v>1</v>
      </c>
      <c r="AB463" s="1">
        <f>IF(C463="","",MONTH(C463))</f>
        <v>5</v>
      </c>
      <c r="AC463" s="1">
        <f>IF(C463="","",YEAR(C463))</f>
        <v>2025</v>
      </c>
      <c r="AD463" s="1" t="s">
        <v>45</v>
      </c>
      <c r="AE463" s="1" t="s">
        <v>46</v>
      </c>
      <c r="AF463" s="1" t="s">
        <v>47</v>
      </c>
    </row>
    <row r="464" spans="1:32" x14ac:dyDescent="0.25">
      <c r="A464" s="1">
        <v>464</v>
      </c>
      <c r="B464" s="1" t="s">
        <v>1544</v>
      </c>
      <c r="C464" s="2">
        <v>45557.77083333333</v>
      </c>
      <c r="D464" s="2">
        <v>45559.77083333333</v>
      </c>
      <c r="E464" s="1" t="s">
        <v>1545</v>
      </c>
      <c r="F464" s="1" t="s">
        <v>149</v>
      </c>
      <c r="G464" s="1" t="s">
        <v>114</v>
      </c>
      <c r="H464" s="1" t="s">
        <v>36</v>
      </c>
      <c r="I464" s="1" t="s">
        <v>384</v>
      </c>
      <c r="J464" s="1" t="s">
        <v>385</v>
      </c>
      <c r="K464" s="1" t="s">
        <v>39</v>
      </c>
      <c r="L464" s="1" t="s">
        <v>176</v>
      </c>
      <c r="M464" s="1" t="s">
        <v>1546</v>
      </c>
      <c r="N464" s="1" t="s">
        <v>64</v>
      </c>
      <c r="O464" s="1">
        <v>2</v>
      </c>
      <c r="P464" s="3">
        <v>1275.14</v>
      </c>
      <c r="Q464" s="4">
        <v>0.2</v>
      </c>
      <c r="R464" s="4">
        <v>0.2</v>
      </c>
      <c r="S464" s="3">
        <v>2040.22</v>
      </c>
      <c r="T464" s="3">
        <v>1395.71</v>
      </c>
      <c r="U464" s="3">
        <v>644.51</v>
      </c>
      <c r="V464" s="1" t="s">
        <v>43</v>
      </c>
      <c r="W464" s="1" t="s">
        <v>44</v>
      </c>
      <c r="X464" s="3">
        <f>IF(OR(O464="",P464="",R464=""),"",O464*P464*(1-R464))</f>
        <v>2040.22</v>
      </c>
      <c r="Y464" s="3">
        <f>IF(OR(X464="",T464=""),"",X464-T464)</f>
        <v>644.51</v>
      </c>
      <c r="Z464" s="4">
        <f>IFERROR(Y464/X464,"")</f>
        <v>0.3159</v>
      </c>
      <c r="AA464" s="1">
        <f>IF(OR(C464="",D464=""),"",D464-C464)</f>
        <v>2</v>
      </c>
      <c r="AB464" s="1">
        <f>IF(C464="","",MONTH(C464))</f>
        <v>9</v>
      </c>
      <c r="AC464" s="1">
        <f>IF(C464="","",YEAR(C464))</f>
        <v>2024</v>
      </c>
      <c r="AD464" s="1" t="s">
        <v>45</v>
      </c>
      <c r="AE464" s="1" t="s">
        <v>46</v>
      </c>
      <c r="AF464" s="1" t="s">
        <v>47</v>
      </c>
    </row>
    <row r="465" spans="1:32" x14ac:dyDescent="0.25">
      <c r="A465" s="1">
        <v>465</v>
      </c>
      <c r="B465" s="1" t="s">
        <v>1547</v>
      </c>
      <c r="C465" s="2">
        <v>45694.77083333333</v>
      </c>
      <c r="D465" s="2">
        <v>45695.77083333333</v>
      </c>
      <c r="E465" s="1" t="s">
        <v>1548</v>
      </c>
      <c r="F465" s="1" t="s">
        <v>70</v>
      </c>
      <c r="G465" s="1" t="s">
        <v>109</v>
      </c>
      <c r="H465" s="1" t="s">
        <v>80</v>
      </c>
      <c r="I465" s="1" t="s">
        <v>91</v>
      </c>
      <c r="J465" s="1" t="s">
        <v>92</v>
      </c>
      <c r="K465" s="1" t="s">
        <v>93</v>
      </c>
      <c r="L465" s="1" t="s">
        <v>196</v>
      </c>
      <c r="M465" s="1" t="s">
        <v>1549</v>
      </c>
      <c r="N465" s="1" t="s">
        <v>76</v>
      </c>
      <c r="O465" s="1">
        <v>4</v>
      </c>
      <c r="P465" s="3">
        <v>889.5</v>
      </c>
      <c r="Q465" s="4">
        <v>0.2</v>
      </c>
      <c r="R465" s="4">
        <v>0.2</v>
      </c>
      <c r="S465" s="3">
        <v>2846.4</v>
      </c>
      <c r="T465" s="3">
        <v>2132.37</v>
      </c>
      <c r="U465" s="3">
        <v>714.03</v>
      </c>
      <c r="V465" s="1" t="s">
        <v>43</v>
      </c>
      <c r="W465" s="1" t="s">
        <v>44</v>
      </c>
      <c r="X465" s="3">
        <f>IF(OR(O465="",P465="",R465=""),"",O465*P465*(1-R465))</f>
        <v>2846.4</v>
      </c>
      <c r="Y465" s="3">
        <f>IF(OR(X465="",T465=""),"",X465-T465)</f>
        <v>714.03</v>
      </c>
      <c r="Z465" s="4">
        <f>IFERROR(Y465/X465,"")</f>
        <v>0.2509</v>
      </c>
      <c r="AA465" s="1">
        <f>IF(OR(C465="",D465=""),"",D465-C465)</f>
        <v>1</v>
      </c>
      <c r="AB465" s="1">
        <f>IF(C465="","",MONTH(C465))</f>
        <v>2</v>
      </c>
      <c r="AC465" s="1">
        <f>IF(C465="","",YEAR(C465))</f>
        <v>2025</v>
      </c>
      <c r="AD465" s="1" t="s">
        <v>45</v>
      </c>
      <c r="AE465" s="1" t="s">
        <v>46</v>
      </c>
      <c r="AF465" s="1" t="s">
        <v>47</v>
      </c>
    </row>
    <row r="466" spans="1:32" s="15" customFormat="1" x14ac:dyDescent="0.25">
      <c r="A466" s="16">
        <v>466</v>
      </c>
      <c r="B466" s="16" t="s">
        <v>1550</v>
      </c>
      <c r="C466" s="17">
        <v>45726.77083333333</v>
      </c>
      <c r="D466" s="17">
        <v>45730.77083333333</v>
      </c>
      <c r="E466" s="16" t="s">
        <v>1551</v>
      </c>
      <c r="F466" s="16" t="s">
        <v>70</v>
      </c>
      <c r="G466" s="16" t="s">
        <v>109</v>
      </c>
      <c r="H466" s="16" t="s">
        <v>52</v>
      </c>
      <c r="I466" s="16" t="s">
        <v>168</v>
      </c>
      <c r="J466" s="16" t="s">
        <v>169</v>
      </c>
      <c r="K466" s="16" t="s">
        <v>39</v>
      </c>
      <c r="L466" s="16" t="s">
        <v>40</v>
      </c>
      <c r="M466" s="16" t="s">
        <v>1552</v>
      </c>
      <c r="N466" s="16" t="s">
        <v>58</v>
      </c>
      <c r="O466" s="16">
        <v>3</v>
      </c>
      <c r="P466" s="18">
        <v>3625.08</v>
      </c>
      <c r="Q466" s="19">
        <v>0.05</v>
      </c>
      <c r="R466" s="19">
        <v>0.05</v>
      </c>
      <c r="S466" s="18">
        <v>10331.48</v>
      </c>
      <c r="T466" s="18">
        <v>7131.91</v>
      </c>
      <c r="U466" s="18">
        <v>3199.57</v>
      </c>
      <c r="V466" s="16" t="s">
        <v>131</v>
      </c>
      <c r="W466" s="16" t="s">
        <v>85</v>
      </c>
      <c r="X466" s="18">
        <f>IF(OR(O466="",P466="",R466=""),"",O466*P466*(1-R466))</f>
        <v>10331.48</v>
      </c>
      <c r="Y466" s="18">
        <f>IF(OR(X466="",T466=""),"",X466-T466)</f>
        <v>3199.57</v>
      </c>
      <c r="Z466" s="19">
        <f>IFERROR(Y466/X466,"")</f>
        <v>0.3097</v>
      </c>
      <c r="AA466" s="16">
        <f>IF(OR(C466="",D466=""),"",D466-C466)</f>
        <v>4</v>
      </c>
      <c r="AB466" s="16">
        <f>IF(C466="","",MONTH(C466))</f>
        <v>3</v>
      </c>
      <c r="AC466" s="16">
        <f>IF(C466="","",YEAR(C466))</f>
        <v>2025</v>
      </c>
      <c r="AD466" s="16" t="s">
        <v>86</v>
      </c>
      <c r="AE466" s="16" t="s">
        <v>66</v>
      </c>
      <c r="AF466" s="16" t="s">
        <v>255</v>
      </c>
    </row>
    <row r="467" spans="1:32" x14ac:dyDescent="0.25">
      <c r="A467" s="1">
        <v>467</v>
      </c>
      <c r="B467" s="1" t="s">
        <v>1553</v>
      </c>
      <c r="C467" s="2">
        <v>45319.77083333333</v>
      </c>
      <c r="D467" s="2">
        <v>45327.77083333333</v>
      </c>
      <c r="E467" s="1" t="s">
        <v>1554</v>
      </c>
      <c r="F467" s="1" t="s">
        <v>149</v>
      </c>
      <c r="G467" s="1" t="s">
        <v>51</v>
      </c>
      <c r="H467" s="1" t="s">
        <v>80</v>
      </c>
      <c r="I467" s="1" t="s">
        <v>91</v>
      </c>
      <c r="J467" s="1" t="s">
        <v>92</v>
      </c>
      <c r="K467" s="1" t="s">
        <v>39</v>
      </c>
      <c r="L467" s="1" t="s">
        <v>110</v>
      </c>
      <c r="M467" s="1" t="s">
        <v>1555</v>
      </c>
      <c r="N467" s="1" t="s">
        <v>76</v>
      </c>
      <c r="O467" s="1">
        <v>2</v>
      </c>
      <c r="P467" s="3">
        <v>1258.9</v>
      </c>
      <c r="Q467" s="4">
        <v>0</v>
      </c>
      <c r="R467" s="4">
        <v>0</v>
      </c>
      <c r="S467" s="3">
        <v>2517.8</v>
      </c>
      <c r="T467" s="3">
        <v>1478.54</v>
      </c>
      <c r="U467" s="3">
        <v>1039.26</v>
      </c>
      <c r="V467" s="1" t="s">
        <v>43</v>
      </c>
      <c r="W467" s="1" t="s">
        <v>44</v>
      </c>
      <c r="X467" s="3">
        <f>IF(OR(O467="",P467="",R467=""),"",O467*P467*(1-R467))</f>
        <v>2517.8</v>
      </c>
      <c r="Y467" s="3">
        <f>IF(OR(X467="",T467=""),"",X467-T467)</f>
        <v>1039.26</v>
      </c>
      <c r="Z467" s="4">
        <f>IFERROR(Y467/X467,"")</f>
        <v>0.4128</v>
      </c>
      <c r="AA467" s="1">
        <f>IF(OR(C467="",D467=""),"",D467-C467)</f>
        <v>8</v>
      </c>
      <c r="AB467" s="1">
        <f>IF(C467="","",MONTH(C467))</f>
        <v>1</v>
      </c>
      <c r="AC467" s="1">
        <f>IF(C467="","",YEAR(C467))</f>
        <v>2024</v>
      </c>
      <c r="AD467" s="1" t="s">
        <v>45</v>
      </c>
      <c r="AE467" s="1" t="s">
        <v>46</v>
      </c>
      <c r="AF467" s="1" t="s">
        <v>47</v>
      </c>
    </row>
    <row r="468" spans="1:32" x14ac:dyDescent="0.25">
      <c r="A468" s="1">
        <v>468</v>
      </c>
      <c r="B468" s="1" t="s">
        <v>1556</v>
      </c>
      <c r="C468" s="2">
        <v>45294.77083333333</v>
      </c>
      <c r="D468" s="2">
        <v>45298.77083333333</v>
      </c>
      <c r="E468" s="1" t="s">
        <v>1557</v>
      </c>
      <c r="F468" s="1" t="s">
        <v>50</v>
      </c>
      <c r="G468" s="1" t="s">
        <v>51</v>
      </c>
      <c r="H468" s="1" t="s">
        <v>52</v>
      </c>
      <c r="I468" s="1" t="s">
        <v>168</v>
      </c>
      <c r="J468" s="1" t="s">
        <v>169</v>
      </c>
      <c r="K468" s="1" t="s">
        <v>93</v>
      </c>
      <c r="L468" s="1" t="s">
        <v>94</v>
      </c>
      <c r="M468" s="1" t="s">
        <v>1558</v>
      </c>
      <c r="N468" s="1" t="s">
        <v>58</v>
      </c>
      <c r="O468" s="1">
        <v>9</v>
      </c>
      <c r="P468" s="3">
        <v>1591.96</v>
      </c>
      <c r="Q468" s="4">
        <v>0.2</v>
      </c>
      <c r="R468" s="4">
        <v>0.2</v>
      </c>
      <c r="S468" s="3">
        <v>11462.11</v>
      </c>
      <c r="T468" s="3">
        <v>7105.48</v>
      </c>
      <c r="U468" s="3">
        <v>4356.63</v>
      </c>
      <c r="V468" s="1" t="s">
        <v>43</v>
      </c>
      <c r="W468" s="1" t="s">
        <v>44</v>
      </c>
      <c r="X468" s="3">
        <f>IF(OR(O468="",P468="",R468=""),"",O468*P468*(1-R468))</f>
        <v>11462.11</v>
      </c>
      <c r="Y468" s="3">
        <f>IF(OR(X468="",T468=""),"",X468-T468)</f>
        <v>4356.63</v>
      </c>
      <c r="Z468" s="4">
        <f>IFERROR(Y468/X468,"")</f>
        <v>0.3801</v>
      </c>
      <c r="AA468" s="1">
        <f>IF(OR(C468="",D468=""),"",D468-C468)</f>
        <v>4</v>
      </c>
      <c r="AB468" s="1">
        <f>IF(C468="","",MONTH(C468))</f>
        <v>1</v>
      </c>
      <c r="AC468" s="1">
        <f>IF(C468="","",YEAR(C468))</f>
        <v>2024</v>
      </c>
      <c r="AD468" s="1" t="s">
        <v>45</v>
      </c>
      <c r="AE468" s="1" t="s">
        <v>46</v>
      </c>
      <c r="AF468" s="1" t="s">
        <v>47</v>
      </c>
    </row>
    <row r="469" spans="1:32" s="15" customFormat="1" x14ac:dyDescent="0.25">
      <c r="A469" s="16">
        <v>469</v>
      </c>
      <c r="B469" s="16" t="s">
        <v>1559</v>
      </c>
      <c r="C469" s="17">
        <v>45523.77083333333</v>
      </c>
      <c r="D469" s="17">
        <v>45524.77083333333</v>
      </c>
      <c r="E469" s="16" t="s">
        <v>1560</v>
      </c>
      <c r="F469" s="16" t="s">
        <v>108</v>
      </c>
      <c r="G469" s="16" t="s">
        <v>109</v>
      </c>
      <c r="H469" s="16" t="s">
        <v>52</v>
      </c>
      <c r="I469" s="16" t="s">
        <v>53</v>
      </c>
      <c r="J469" s="16" t="s">
        <v>54</v>
      </c>
      <c r="K469" s="16" t="s">
        <v>93</v>
      </c>
      <c r="L469" s="16" t="s">
        <v>99</v>
      </c>
      <c r="M469" s="16" t="s">
        <v>1561</v>
      </c>
      <c r="N469" s="16" t="s">
        <v>64</v>
      </c>
      <c r="O469" s="16">
        <v>5</v>
      </c>
      <c r="P469" s="18">
        <v>4288.33</v>
      </c>
      <c r="Q469" s="19">
        <v>0.1</v>
      </c>
      <c r="R469" s="19">
        <v>0.1</v>
      </c>
      <c r="S469" s="18">
        <v>19297.49</v>
      </c>
      <c r="T469" s="18">
        <v>15451.66</v>
      </c>
      <c r="U469" s="18">
        <v>3845.83</v>
      </c>
      <c r="V469" s="16" t="s">
        <v>121</v>
      </c>
      <c r="W469" s="16" t="s">
        <v>85</v>
      </c>
      <c r="X469" s="18">
        <f>IF(OR(O469="",P469="",R469=""),"",O469*P469*(1-R469))</f>
        <v>19297.49</v>
      </c>
      <c r="Y469" s="18">
        <f>IF(OR(X469="",T469=""),"",X469-T469)</f>
        <v>3845.83</v>
      </c>
      <c r="Z469" s="19">
        <f>IFERROR(Y469/X469,"")</f>
        <v>0.1993</v>
      </c>
      <c r="AA469" s="16">
        <f>IF(OR(C469="",D469=""),"",D469-C469)</f>
        <v>1</v>
      </c>
      <c r="AB469" s="16">
        <f>IF(C469="","",MONTH(C469))</f>
        <v>8</v>
      </c>
      <c r="AC469" s="16">
        <f>IF(C469="","",YEAR(C469))</f>
        <v>2024</v>
      </c>
      <c r="AD469" s="16" t="s">
        <v>86</v>
      </c>
      <c r="AE469" s="16" t="s">
        <v>66</v>
      </c>
      <c r="AF469" s="16" t="s">
        <v>160</v>
      </c>
    </row>
    <row r="470" spans="1:32" s="10" customFormat="1" x14ac:dyDescent="0.25">
      <c r="A470" s="11">
        <v>470</v>
      </c>
      <c r="B470" s="11" t="s">
        <v>1562</v>
      </c>
      <c r="C470" s="12">
        <v>45665.77083333333</v>
      </c>
      <c r="D470" s="12">
        <v>45663.77083333333</v>
      </c>
      <c r="E470" s="11" t="s">
        <v>1563</v>
      </c>
      <c r="F470" s="11" t="s">
        <v>149</v>
      </c>
      <c r="G470" s="11" t="s">
        <v>114</v>
      </c>
      <c r="H470" s="11" t="s">
        <v>52</v>
      </c>
      <c r="I470" s="11" t="s">
        <v>118</v>
      </c>
      <c r="J470" s="11" t="s">
        <v>119</v>
      </c>
      <c r="K470" s="11" t="s">
        <v>39</v>
      </c>
      <c r="L470" s="11" t="s">
        <v>176</v>
      </c>
      <c r="M470" s="11" t="s">
        <v>1564</v>
      </c>
      <c r="N470" s="11" t="s">
        <v>42</v>
      </c>
      <c r="O470" s="11">
        <v>3</v>
      </c>
      <c r="P470" s="13">
        <v>2188.33</v>
      </c>
      <c r="Q470" s="14">
        <v>0</v>
      </c>
      <c r="R470" s="14">
        <v>0</v>
      </c>
      <c r="S470" s="13">
        <v>6564.99</v>
      </c>
      <c r="T470" s="13">
        <v>5407.24</v>
      </c>
      <c r="U470" s="13">
        <v>1157.75</v>
      </c>
      <c r="V470" s="11" t="s">
        <v>43</v>
      </c>
      <c r="W470" s="11" t="s">
        <v>44</v>
      </c>
      <c r="X470" s="13">
        <f>IF(OR(O470="",P470="",R470=""),"",O470*P470*(1-R470))</f>
        <v>6564.99</v>
      </c>
      <c r="Y470" s="13">
        <f>IF(OR(X470="",T470=""),"",X470-T470)</f>
        <v>1157.75</v>
      </c>
      <c r="Z470" s="14">
        <f>IFERROR(Y470/X470,"")</f>
        <v>0.1764</v>
      </c>
      <c r="AA470" s="11">
        <f>IF(OR(C470="",D470=""),"",D470-C470)</f>
        <v>-2</v>
      </c>
      <c r="AB470" s="11">
        <f>IF(C470="","",MONTH(C470))</f>
        <v>1</v>
      </c>
      <c r="AC470" s="11">
        <f>IF(C470="","",YEAR(C470))</f>
        <v>2025</v>
      </c>
      <c r="AD470" s="11" t="s">
        <v>65</v>
      </c>
      <c r="AE470" s="11" t="s">
        <v>66</v>
      </c>
      <c r="AF470" s="11" t="s">
        <v>360</v>
      </c>
    </row>
    <row r="471" spans="1:32" x14ac:dyDescent="0.25">
      <c r="A471" s="1">
        <v>471</v>
      </c>
      <c r="B471" s="1" t="s">
        <v>1565</v>
      </c>
      <c r="C471" s="2">
        <v>45309.77083333333</v>
      </c>
      <c r="D471" s="2">
        <v>45315.77083333333</v>
      </c>
      <c r="E471" s="1" t="s">
        <v>1566</v>
      </c>
      <c r="F471" s="1" t="s">
        <v>108</v>
      </c>
      <c r="G471" s="1" t="s">
        <v>109</v>
      </c>
      <c r="H471" s="1" t="s">
        <v>80</v>
      </c>
      <c r="I471" s="1" t="s">
        <v>216</v>
      </c>
      <c r="J471" s="1" t="s">
        <v>217</v>
      </c>
      <c r="K471" s="1" t="s">
        <v>93</v>
      </c>
      <c r="L471" s="1" t="s">
        <v>99</v>
      </c>
      <c r="M471" s="1" t="s">
        <v>1567</v>
      </c>
      <c r="N471" s="1" t="s">
        <v>64</v>
      </c>
      <c r="O471" s="1">
        <v>3</v>
      </c>
      <c r="P471" s="3">
        <v>1041.66</v>
      </c>
      <c r="Q471" s="4">
        <v>0.1</v>
      </c>
      <c r="R471" s="4">
        <v>0.1</v>
      </c>
      <c r="S471" s="3">
        <v>2812.48</v>
      </c>
      <c r="T471" s="3">
        <v>2282.12</v>
      </c>
      <c r="U471" s="3">
        <v>530.36</v>
      </c>
      <c r="V471" s="1" t="s">
        <v>43</v>
      </c>
      <c r="W471" s="1" t="s">
        <v>44</v>
      </c>
      <c r="X471" s="3">
        <f>IF(OR(O471="",P471="",R471=""),"",O471*P471*(1-R471))</f>
        <v>2812.48</v>
      </c>
      <c r="Y471" s="3">
        <f>IF(OR(X471="",T471=""),"",X471-T471)</f>
        <v>530.36</v>
      </c>
      <c r="Z471" s="4">
        <f>IFERROR(Y471/X471,"")</f>
        <v>0.1886</v>
      </c>
      <c r="AA471" s="1">
        <f>IF(OR(C471="",D471=""),"",D471-C471)</f>
        <v>6</v>
      </c>
      <c r="AB471" s="1">
        <f>IF(C471="","",MONTH(C471))</f>
        <v>1</v>
      </c>
      <c r="AC471" s="1">
        <f>IF(C471="","",YEAR(C471))</f>
        <v>2024</v>
      </c>
      <c r="AD471" s="1" t="s">
        <v>45</v>
      </c>
      <c r="AE471" s="1" t="s">
        <v>46</v>
      </c>
      <c r="AF471" s="1" t="s">
        <v>47</v>
      </c>
    </row>
    <row r="472" spans="1:32" x14ac:dyDescent="0.25">
      <c r="A472" s="1">
        <v>472</v>
      </c>
      <c r="B472" s="1" t="s">
        <v>1568</v>
      </c>
      <c r="C472" s="2">
        <v>45500.77083333333</v>
      </c>
      <c r="D472" s="2">
        <v>45503.77083333333</v>
      </c>
      <c r="E472" s="1" t="s">
        <v>1569</v>
      </c>
      <c r="F472" s="1" t="s">
        <v>108</v>
      </c>
      <c r="G472" s="1" t="s">
        <v>35</v>
      </c>
      <c r="H472" s="1" t="s">
        <v>36</v>
      </c>
      <c r="I472" s="1" t="s">
        <v>37</v>
      </c>
      <c r="J472" s="1" t="s">
        <v>38</v>
      </c>
      <c r="K472" s="1" t="s">
        <v>55</v>
      </c>
      <c r="L472" s="1" t="s">
        <v>56</v>
      </c>
      <c r="M472" s="1" t="s">
        <v>1570</v>
      </c>
      <c r="N472" s="1" t="s">
        <v>58</v>
      </c>
      <c r="O472" s="1">
        <v>2</v>
      </c>
      <c r="P472" s="3">
        <v>4424.78</v>
      </c>
      <c r="Q472" s="4">
        <v>0.2</v>
      </c>
      <c r="R472" s="4">
        <v>0.2</v>
      </c>
      <c r="S472" s="3">
        <v>7079.65</v>
      </c>
      <c r="T472" s="3">
        <v>4465.91</v>
      </c>
      <c r="U472" s="3">
        <v>2613.74</v>
      </c>
      <c r="V472" s="1" t="s">
        <v>43</v>
      </c>
      <c r="W472" s="1" t="s">
        <v>44</v>
      </c>
      <c r="X472" s="3">
        <f>IF(OR(O472="",P472="",R472=""),"",O472*P472*(1-R472))</f>
        <v>7079.65</v>
      </c>
      <c r="Y472" s="3">
        <f>IF(OR(X472="",T472=""),"",X472-T472)</f>
        <v>2613.74</v>
      </c>
      <c r="Z472" s="4">
        <f>IFERROR(Y472/X472,"")</f>
        <v>0.3692</v>
      </c>
      <c r="AA472" s="1">
        <f>IF(OR(C472="",D472=""),"",D472-C472)</f>
        <v>3</v>
      </c>
      <c r="AB472" s="1">
        <f>IF(C472="","",MONTH(C472))</f>
        <v>7</v>
      </c>
      <c r="AC472" s="1">
        <f>IF(C472="","",YEAR(C472))</f>
        <v>2024</v>
      </c>
      <c r="AD472" s="1" t="s">
        <v>45</v>
      </c>
      <c r="AE472" s="1" t="s">
        <v>46</v>
      </c>
      <c r="AF472" s="1" t="s">
        <v>47</v>
      </c>
    </row>
    <row r="473" spans="1:32" x14ac:dyDescent="0.25">
      <c r="A473" s="1">
        <v>473</v>
      </c>
      <c r="B473" s="1" t="s">
        <v>1571</v>
      </c>
      <c r="C473" s="2">
        <v>45332.77083333333</v>
      </c>
      <c r="D473" s="2">
        <v>45336.77083333333</v>
      </c>
      <c r="E473" s="1" t="s">
        <v>1572</v>
      </c>
      <c r="F473" s="1" t="s">
        <v>294</v>
      </c>
      <c r="G473" s="1" t="s">
        <v>35</v>
      </c>
      <c r="H473" s="1" t="s">
        <v>71</v>
      </c>
      <c r="I473" s="1" t="s">
        <v>72</v>
      </c>
      <c r="J473" s="1" t="s">
        <v>73</v>
      </c>
      <c r="K473" s="1" t="s">
        <v>39</v>
      </c>
      <c r="L473" s="1" t="s">
        <v>176</v>
      </c>
      <c r="M473" s="1" t="s">
        <v>1573</v>
      </c>
      <c r="N473" s="1" t="s">
        <v>76</v>
      </c>
      <c r="O473" s="1">
        <v>3</v>
      </c>
      <c r="P473" s="3">
        <v>3019.14</v>
      </c>
      <c r="Q473" s="4">
        <v>0.25</v>
      </c>
      <c r="R473" s="4">
        <v>0.25</v>
      </c>
      <c r="S473" s="3">
        <v>6793.07</v>
      </c>
      <c r="T473" s="3">
        <v>4985.22</v>
      </c>
      <c r="U473" s="3">
        <v>1807.85</v>
      </c>
      <c r="V473" s="1" t="s">
        <v>43</v>
      </c>
      <c r="W473" s="1" t="s">
        <v>44</v>
      </c>
      <c r="X473" s="3">
        <f>IF(OR(O473="",P473="",R473=""),"",O473*P473*(1-R473))</f>
        <v>6793.07</v>
      </c>
      <c r="Y473" s="3">
        <f>IF(OR(X473="",T473=""),"",X473-T473)</f>
        <v>1807.85</v>
      </c>
      <c r="Z473" s="4">
        <f>IFERROR(Y473/X473,"")</f>
        <v>0.2661</v>
      </c>
      <c r="AA473" s="1">
        <f>IF(OR(C473="",D473=""),"",D473-C473)</f>
        <v>4</v>
      </c>
      <c r="AB473" s="1">
        <f>IF(C473="","",MONTH(C473))</f>
        <v>2</v>
      </c>
      <c r="AC473" s="1">
        <f>IF(C473="","",YEAR(C473))</f>
        <v>2024</v>
      </c>
      <c r="AD473" s="1" t="s">
        <v>45</v>
      </c>
      <c r="AE473" s="1" t="s">
        <v>46</v>
      </c>
      <c r="AF473" s="1" t="s">
        <v>47</v>
      </c>
    </row>
    <row r="474" spans="1:32" x14ac:dyDescent="0.25">
      <c r="A474" s="1">
        <v>474</v>
      </c>
      <c r="B474" s="1" t="s">
        <v>1574</v>
      </c>
      <c r="C474" s="2">
        <v>45352.77083333333</v>
      </c>
      <c r="D474" s="2">
        <v>45357.77083333333</v>
      </c>
      <c r="E474" s="1" t="s">
        <v>1575</v>
      </c>
      <c r="F474" s="1" t="s">
        <v>163</v>
      </c>
      <c r="G474" s="1" t="s">
        <v>109</v>
      </c>
      <c r="H474" s="1" t="s">
        <v>52</v>
      </c>
      <c r="I474" s="1" t="s">
        <v>53</v>
      </c>
      <c r="J474" s="1" t="s">
        <v>54</v>
      </c>
      <c r="K474" s="1" t="s">
        <v>39</v>
      </c>
      <c r="L474" s="1" t="s">
        <v>145</v>
      </c>
      <c r="M474" s="1" t="s">
        <v>1576</v>
      </c>
      <c r="N474" s="1" t="s">
        <v>76</v>
      </c>
      <c r="O474" s="1">
        <v>7</v>
      </c>
      <c r="P474" s="3">
        <v>263.46</v>
      </c>
      <c r="Q474" s="4">
        <v>0</v>
      </c>
      <c r="R474" s="4">
        <v>0</v>
      </c>
      <c r="S474" s="3">
        <v>1844.22</v>
      </c>
      <c r="T474" s="3">
        <v>1094.21</v>
      </c>
      <c r="U474" s="3">
        <v>750.01</v>
      </c>
      <c r="V474" s="1" t="s">
        <v>43</v>
      </c>
      <c r="W474" s="1" t="s">
        <v>44</v>
      </c>
      <c r="X474" s="3">
        <f>IF(OR(O474="",P474="",R474=""),"",O474*P474*(1-R474))</f>
        <v>1844.22</v>
      </c>
      <c r="Y474" s="3">
        <f>IF(OR(X474="",T474=""),"",X474-T474)</f>
        <v>750.01</v>
      </c>
      <c r="Z474" s="4">
        <f>IFERROR(Y474/X474,"")</f>
        <v>0.4067</v>
      </c>
      <c r="AA474" s="1">
        <f>IF(OR(C474="",D474=""),"",D474-C474)</f>
        <v>5</v>
      </c>
      <c r="AB474" s="1">
        <f>IF(C474="","",MONTH(C474))</f>
        <v>3</v>
      </c>
      <c r="AC474" s="1">
        <f>IF(C474="","",YEAR(C474))</f>
        <v>2024</v>
      </c>
      <c r="AD474" s="1" t="s">
        <v>45</v>
      </c>
      <c r="AE474" s="1" t="s">
        <v>46</v>
      </c>
      <c r="AF474" s="1" t="s">
        <v>47</v>
      </c>
    </row>
    <row r="475" spans="1:32" x14ac:dyDescent="0.25">
      <c r="A475" s="1">
        <v>475</v>
      </c>
      <c r="B475" s="1" t="s">
        <v>1577</v>
      </c>
      <c r="C475" s="2">
        <v>45608.77083333333</v>
      </c>
      <c r="D475" s="2">
        <v>45608.77083333333</v>
      </c>
      <c r="E475" s="1" t="s">
        <v>1578</v>
      </c>
      <c r="F475" s="1" t="s">
        <v>135</v>
      </c>
      <c r="G475" s="1" t="s">
        <v>35</v>
      </c>
      <c r="H475" s="1" t="s">
        <v>80</v>
      </c>
      <c r="I475" s="1" t="s">
        <v>216</v>
      </c>
      <c r="J475" s="1" t="s">
        <v>217</v>
      </c>
      <c r="K475" s="1" t="s">
        <v>93</v>
      </c>
      <c r="L475" s="1" t="s">
        <v>99</v>
      </c>
      <c r="M475" s="1" t="s">
        <v>1579</v>
      </c>
      <c r="N475" s="1" t="s">
        <v>76</v>
      </c>
      <c r="O475" s="1">
        <v>6</v>
      </c>
      <c r="P475" s="3">
        <v>191.45</v>
      </c>
      <c r="Q475" s="4">
        <v>0.2</v>
      </c>
      <c r="R475" s="4">
        <v>0.2</v>
      </c>
      <c r="S475" s="3">
        <v>918.96</v>
      </c>
      <c r="T475" s="3">
        <v>554.18</v>
      </c>
      <c r="U475" s="3">
        <v>364.78</v>
      </c>
      <c r="V475" s="1" t="s">
        <v>43</v>
      </c>
      <c r="W475" s="1" t="s">
        <v>44</v>
      </c>
      <c r="X475" s="3">
        <f>IF(OR(O475="",P475="",R475=""),"",O475*P475*(1-R475))</f>
        <v>918.96</v>
      </c>
      <c r="Y475" s="3">
        <f>IF(OR(X475="",T475=""),"",X475-T475)</f>
        <v>364.78</v>
      </c>
      <c r="Z475" s="4">
        <f>IFERROR(Y475/X475,"")</f>
        <v>0.3969</v>
      </c>
      <c r="AA475" s="1">
        <f>IF(OR(C475="",D475=""),"",D475-C475)</f>
        <v>0</v>
      </c>
      <c r="AB475" s="1">
        <f>IF(C475="","",MONTH(C475))</f>
        <v>11</v>
      </c>
      <c r="AC475" s="1">
        <f>IF(C475="","",YEAR(C475))</f>
        <v>2024</v>
      </c>
      <c r="AD475" s="1" t="s">
        <v>45</v>
      </c>
      <c r="AE475" s="1" t="s">
        <v>46</v>
      </c>
      <c r="AF475" s="1" t="s">
        <v>47</v>
      </c>
    </row>
    <row r="476" spans="1:32" x14ac:dyDescent="0.25">
      <c r="A476" s="1">
        <v>476</v>
      </c>
      <c r="B476" s="1" t="s">
        <v>1580</v>
      </c>
      <c r="C476" s="2">
        <v>45445.77083333333</v>
      </c>
      <c r="D476" s="2">
        <v>45452.77083333333</v>
      </c>
      <c r="E476" s="1" t="s">
        <v>1581</v>
      </c>
      <c r="F476" s="1" t="s">
        <v>186</v>
      </c>
      <c r="G476" s="1" t="s">
        <v>109</v>
      </c>
      <c r="H476" s="1" t="s">
        <v>36</v>
      </c>
      <c r="I476" s="1" t="s">
        <v>143</v>
      </c>
      <c r="J476" s="1" t="s">
        <v>144</v>
      </c>
      <c r="K476" s="1" t="s">
        <v>55</v>
      </c>
      <c r="L476" s="1" t="s">
        <v>74</v>
      </c>
      <c r="M476" s="1" t="s">
        <v>1582</v>
      </c>
      <c r="N476" s="1" t="s">
        <v>76</v>
      </c>
      <c r="O476" s="1">
        <v>3</v>
      </c>
      <c r="P476" s="3">
        <v>1633.57</v>
      </c>
      <c r="Q476" s="4">
        <v>0</v>
      </c>
      <c r="R476" s="4">
        <v>0</v>
      </c>
      <c r="S476" s="3">
        <v>4900.71</v>
      </c>
      <c r="T476" s="3">
        <v>2713.9</v>
      </c>
      <c r="U476" s="3">
        <v>2186.81</v>
      </c>
      <c r="V476" s="1" t="s">
        <v>43</v>
      </c>
      <c r="W476" s="1" t="s">
        <v>44</v>
      </c>
      <c r="X476" s="3">
        <f>IF(OR(O476="",P476="",R476=""),"",O476*P476*(1-R476))</f>
        <v>4900.71</v>
      </c>
      <c r="Y476" s="3">
        <f>IF(OR(X476="",T476=""),"",X476-T476)</f>
        <v>2186.81</v>
      </c>
      <c r="Z476" s="4">
        <f>IFERROR(Y476/X476,"")</f>
        <v>0.4462</v>
      </c>
      <c r="AA476" s="1">
        <f>IF(OR(C476="",D476=""),"",D476-C476)</f>
        <v>7</v>
      </c>
      <c r="AB476" s="1">
        <f>IF(C476="","",MONTH(C476))</f>
        <v>6</v>
      </c>
      <c r="AC476" s="1">
        <f>IF(C476="","",YEAR(C476))</f>
        <v>2024</v>
      </c>
      <c r="AD476" s="1" t="s">
        <v>45</v>
      </c>
      <c r="AE476" s="1" t="s">
        <v>46</v>
      </c>
      <c r="AF476" s="1" t="s">
        <v>47</v>
      </c>
    </row>
    <row r="477" spans="1:32" s="15" customFormat="1" x14ac:dyDescent="0.25">
      <c r="A477" s="16">
        <v>477</v>
      </c>
      <c r="B477" s="16" t="s">
        <v>1583</v>
      </c>
      <c r="C477" s="17">
        <v>45716.77083333333</v>
      </c>
      <c r="D477" s="17">
        <v>45723.77083333333</v>
      </c>
      <c r="E477" s="16" t="s">
        <v>1584</v>
      </c>
      <c r="F477" s="16" t="s">
        <v>90</v>
      </c>
      <c r="G477" s="16" t="s">
        <v>35</v>
      </c>
      <c r="H477" s="16" t="s">
        <v>52</v>
      </c>
      <c r="I477" s="16" t="s">
        <v>118</v>
      </c>
      <c r="J477" s="16" t="s">
        <v>119</v>
      </c>
      <c r="K477" s="16" t="s">
        <v>55</v>
      </c>
      <c r="L477" s="16" t="s">
        <v>83</v>
      </c>
      <c r="M477" s="16" t="s">
        <v>1585</v>
      </c>
      <c r="N477" s="16" t="s">
        <v>58</v>
      </c>
      <c r="O477" s="16">
        <v>8</v>
      </c>
      <c r="P477" s="18">
        <v>3378.82</v>
      </c>
      <c r="Q477" s="19">
        <v>0.25</v>
      </c>
      <c r="R477" s="19">
        <v>0.25</v>
      </c>
      <c r="S477" s="18">
        <v>20272.92</v>
      </c>
      <c r="T477" s="18">
        <v>15873.38</v>
      </c>
      <c r="U477" s="18">
        <v>4399.54</v>
      </c>
      <c r="V477" s="16" t="s">
        <v>131</v>
      </c>
      <c r="W477" s="16" t="s">
        <v>122</v>
      </c>
      <c r="X477" s="18">
        <f>IF(OR(O477="",P477="",R477=""),"",O477*P477*(1-R477))</f>
        <v>20272.92</v>
      </c>
      <c r="Y477" s="18">
        <f>IF(OR(X477="",T477=""),"",X477-T477)</f>
        <v>4399.54</v>
      </c>
      <c r="Z477" s="19">
        <f>IFERROR(Y477/X477,"")</f>
        <v>0.217</v>
      </c>
      <c r="AA477" s="16">
        <f>IF(OR(C477="",D477=""),"",D477-C477)</f>
        <v>7</v>
      </c>
      <c r="AB477" s="16">
        <f>IF(C477="","",MONTH(C477))</f>
        <v>3</v>
      </c>
      <c r="AC477" s="16">
        <f>IF(C477="","",YEAR(C477))</f>
        <v>2025</v>
      </c>
      <c r="AD477" s="16" t="s">
        <v>86</v>
      </c>
      <c r="AE477" s="16" t="s">
        <v>66</v>
      </c>
      <c r="AF477" s="16" t="s">
        <v>132</v>
      </c>
    </row>
    <row r="478" spans="1:32" x14ac:dyDescent="0.25">
      <c r="A478" s="1">
        <v>478</v>
      </c>
      <c r="B478" s="1" t="s">
        <v>1586</v>
      </c>
      <c r="C478" s="2">
        <v>45418.77083333333</v>
      </c>
      <c r="D478" s="2">
        <v>45425.77083333333</v>
      </c>
      <c r="E478" s="1" t="s">
        <v>1587</v>
      </c>
      <c r="F478" s="1" t="s">
        <v>153</v>
      </c>
      <c r="G478" s="1" t="s">
        <v>51</v>
      </c>
      <c r="H478" s="1" t="s">
        <v>36</v>
      </c>
      <c r="I478" s="1" t="s">
        <v>37</v>
      </c>
      <c r="J478" s="1" t="s">
        <v>38</v>
      </c>
      <c r="K478" s="1" t="s">
        <v>39</v>
      </c>
      <c r="L478" s="1" t="s">
        <v>145</v>
      </c>
      <c r="M478" s="1" t="s">
        <v>1588</v>
      </c>
      <c r="N478" s="1" t="s">
        <v>64</v>
      </c>
      <c r="O478" s="1">
        <v>3</v>
      </c>
      <c r="P478" s="3">
        <v>383.58</v>
      </c>
      <c r="Q478" s="4">
        <v>0.1</v>
      </c>
      <c r="R478" s="4">
        <v>0.1</v>
      </c>
      <c r="S478" s="3">
        <v>1035.67</v>
      </c>
      <c r="T478" s="3">
        <v>595.42</v>
      </c>
      <c r="U478" s="3">
        <v>440.25</v>
      </c>
      <c r="V478" s="1" t="s">
        <v>43</v>
      </c>
      <c r="W478" s="1" t="s">
        <v>44</v>
      </c>
      <c r="X478" s="3">
        <f>IF(OR(O478="",P478="",R478=""),"",O478*P478*(1-R478))</f>
        <v>1035.67</v>
      </c>
      <c r="Y478" s="3">
        <f>IF(OR(X478="",T478=""),"",X478-T478)</f>
        <v>440.25</v>
      </c>
      <c r="Z478" s="4">
        <f>IFERROR(Y478/X478,"")</f>
        <v>0.4251</v>
      </c>
      <c r="AA478" s="1">
        <f>IF(OR(C478="",D478=""),"",D478-C478)</f>
        <v>7</v>
      </c>
      <c r="AB478" s="1">
        <f>IF(C478="","",MONTH(C478))</f>
        <v>5</v>
      </c>
      <c r="AC478" s="1">
        <f>IF(C478="","",YEAR(C478))</f>
        <v>2024</v>
      </c>
      <c r="AD478" s="1" t="s">
        <v>45</v>
      </c>
      <c r="AE478" s="1" t="s">
        <v>46</v>
      </c>
      <c r="AF478" s="1" t="s">
        <v>47</v>
      </c>
    </row>
    <row r="479" spans="1:32" s="15" customFormat="1" x14ac:dyDescent="0.25">
      <c r="A479" s="16">
        <v>479</v>
      </c>
      <c r="B479" s="16" t="s">
        <v>1589</v>
      </c>
      <c r="C479" s="17">
        <v>45891.77083333333</v>
      </c>
      <c r="D479" s="17">
        <v>45896.77083333333</v>
      </c>
      <c r="E479" s="16" t="s">
        <v>1590</v>
      </c>
      <c r="F479" s="16" t="s">
        <v>90</v>
      </c>
      <c r="G479" s="16" t="s">
        <v>109</v>
      </c>
      <c r="H479" s="16" t="s">
        <v>80</v>
      </c>
      <c r="I479" s="16" t="s">
        <v>206</v>
      </c>
      <c r="J479" s="16" t="s">
        <v>207</v>
      </c>
      <c r="K479" s="16" t="s">
        <v>55</v>
      </c>
      <c r="L479" s="16" t="s">
        <v>83</v>
      </c>
      <c r="M479" s="16" t="s">
        <v>1591</v>
      </c>
      <c r="N479" s="16" t="s">
        <v>76</v>
      </c>
      <c r="O479" s="16">
        <v>6</v>
      </c>
      <c r="P479" s="18">
        <v>2193.23</v>
      </c>
      <c r="Q479" s="19">
        <v>0.1</v>
      </c>
      <c r="R479" s="19">
        <v>0.1</v>
      </c>
      <c r="S479" s="18">
        <v>11843.44</v>
      </c>
      <c r="T479" s="18">
        <v>9356.88</v>
      </c>
      <c r="U479" s="18">
        <v>2486.56</v>
      </c>
      <c r="V479" s="16" t="s">
        <v>43</v>
      </c>
      <c r="W479" s="16" t="s">
        <v>85</v>
      </c>
      <c r="X479" s="18">
        <f>IF(OR(O479="",P479="",R479=""),"",O479*P479*(1-R479))</f>
        <v>11843.44</v>
      </c>
      <c r="Y479" s="18">
        <f>IF(OR(X479="",T479=""),"",X479-T479)</f>
        <v>2486.56</v>
      </c>
      <c r="Z479" s="19">
        <f>IFERROR(Y479/X479,"")</f>
        <v>0.21</v>
      </c>
      <c r="AA479" s="16">
        <f>IF(OR(C479="",D479=""),"",D479-C479)</f>
        <v>5</v>
      </c>
      <c r="AB479" s="16">
        <f>IF(C479="","",MONTH(C479))</f>
        <v>8</v>
      </c>
      <c r="AC479" s="16">
        <f>IF(C479="","",YEAR(C479))</f>
        <v>2025</v>
      </c>
      <c r="AD479" s="16" t="s">
        <v>86</v>
      </c>
      <c r="AE479" s="16" t="s">
        <v>66</v>
      </c>
      <c r="AF479" s="16" t="s">
        <v>87</v>
      </c>
    </row>
    <row r="480" spans="1:32" s="15" customFormat="1" x14ac:dyDescent="0.25">
      <c r="A480" s="16">
        <v>480</v>
      </c>
      <c r="B480" s="16" t="s">
        <v>1592</v>
      </c>
      <c r="C480" s="17">
        <v>45451.77083333333</v>
      </c>
      <c r="D480" s="17">
        <v>45455.77083333333</v>
      </c>
      <c r="E480" s="16" t="s">
        <v>1593</v>
      </c>
      <c r="F480" s="16" t="s">
        <v>50</v>
      </c>
      <c r="G480" s="16" t="s">
        <v>114</v>
      </c>
      <c r="H480" s="16" t="s">
        <v>232</v>
      </c>
      <c r="I480" s="16" t="s">
        <v>157</v>
      </c>
      <c r="J480" s="16" t="s">
        <v>158</v>
      </c>
      <c r="K480" s="16" t="s">
        <v>93</v>
      </c>
      <c r="L480" s="16" t="s">
        <v>305</v>
      </c>
      <c r="M480" s="16" t="s">
        <v>1594</v>
      </c>
      <c r="N480" s="16" t="s">
        <v>58</v>
      </c>
      <c r="O480" s="16">
        <v>7</v>
      </c>
      <c r="P480" s="18">
        <v>4079.71</v>
      </c>
      <c r="Q480" s="19">
        <v>0.1</v>
      </c>
      <c r="R480" s="19">
        <v>0.1</v>
      </c>
      <c r="S480" s="18">
        <v>25702.17</v>
      </c>
      <c r="T480" s="18">
        <v>14571.48</v>
      </c>
      <c r="U480" s="18">
        <v>11130.69</v>
      </c>
      <c r="V480" s="16" t="s">
        <v>121</v>
      </c>
      <c r="W480" s="16" t="s">
        <v>122</v>
      </c>
      <c r="X480" s="18">
        <f>IF(OR(O480="",P480="",R480=""),"",O480*P480*(1-R480))</f>
        <v>25702.17</v>
      </c>
      <c r="Y480" s="18">
        <f>IF(OR(X480="",T480=""),"",X480-T480)</f>
        <v>11130.69</v>
      </c>
      <c r="Z480" s="19">
        <f>IFERROR(Y480/X480,"")</f>
        <v>0.4331</v>
      </c>
      <c r="AA480" s="16">
        <f>IF(OR(C480="",D480=""),"",D480-C480)</f>
        <v>4</v>
      </c>
      <c r="AB480" s="16">
        <f>IF(C480="","",MONTH(C480))</f>
        <v>6</v>
      </c>
      <c r="AC480" s="16">
        <f>IF(C480="","",YEAR(C480))</f>
        <v>2024</v>
      </c>
      <c r="AD480" s="16" t="s">
        <v>86</v>
      </c>
      <c r="AE480" s="16" t="s">
        <v>66</v>
      </c>
      <c r="AF480" s="16" t="s">
        <v>1595</v>
      </c>
    </row>
    <row r="481" spans="1:32" s="10" customFormat="1" x14ac:dyDescent="0.25">
      <c r="A481" s="11">
        <v>481</v>
      </c>
      <c r="B481" s="11" t="s">
        <v>1596</v>
      </c>
      <c r="C481" s="12">
        <v>45344.77083333333</v>
      </c>
      <c r="D481" s="12">
        <v>45341.77083333333</v>
      </c>
      <c r="E481" s="11" t="s">
        <v>1597</v>
      </c>
      <c r="F481" s="11" t="s">
        <v>70</v>
      </c>
      <c r="G481" s="11" t="s">
        <v>109</v>
      </c>
      <c r="H481" s="11" t="s">
        <v>52</v>
      </c>
      <c r="I481" s="11" t="s">
        <v>53</v>
      </c>
      <c r="J481" s="11" t="s">
        <v>54</v>
      </c>
      <c r="K481" s="11" t="s">
        <v>55</v>
      </c>
      <c r="L481" s="11" t="s">
        <v>83</v>
      </c>
      <c r="M481" s="11" t="s">
        <v>1598</v>
      </c>
      <c r="N481" s="11" t="s">
        <v>42</v>
      </c>
      <c r="O481" s="11">
        <v>1</v>
      </c>
      <c r="P481" s="13">
        <v>2202.55</v>
      </c>
      <c r="Q481" s="14"/>
      <c r="R481" s="14">
        <v>0</v>
      </c>
      <c r="S481" s="13">
        <v>1651.91</v>
      </c>
      <c r="T481" s="13">
        <v>1034.57</v>
      </c>
      <c r="U481" s="13">
        <v>617.34</v>
      </c>
      <c r="V481" s="11" t="s">
        <v>43</v>
      </c>
      <c r="W481" s="11" t="s">
        <v>44</v>
      </c>
      <c r="X481" s="13">
        <f>IF(OR(O481="",P481="",R481=""),"",O481*P481*(1-R481))</f>
        <v>2202.55</v>
      </c>
      <c r="Y481" s="13">
        <f>IF(OR(X481="",T481=""),"",X481-T481)</f>
        <v>1167.98</v>
      </c>
      <c r="Z481" s="14">
        <f>IFERROR(Y481/X481,"")</f>
        <v>0.5303</v>
      </c>
      <c r="AA481" s="11">
        <f>IF(OR(C481="",D481=""),"",D481-C481)</f>
        <v>-3</v>
      </c>
      <c r="AB481" s="11">
        <f>IF(C481="","",MONTH(C481))</f>
        <v>2</v>
      </c>
      <c r="AC481" s="11">
        <f>IF(C481="","",YEAR(C481))</f>
        <v>2024</v>
      </c>
      <c r="AD481" s="11" t="s">
        <v>65</v>
      </c>
      <c r="AE481" s="11" t="s">
        <v>66</v>
      </c>
      <c r="AF481" s="11" t="s">
        <v>1599</v>
      </c>
    </row>
    <row r="482" spans="1:32" s="15" customFormat="1" x14ac:dyDescent="0.25">
      <c r="A482" s="16">
        <v>482</v>
      </c>
      <c r="B482" s="16" t="s">
        <v>1600</v>
      </c>
      <c r="C482" s="17">
        <v>45661.77083333333</v>
      </c>
      <c r="D482" s="17">
        <v>45665.77083333333</v>
      </c>
      <c r="E482" s="16" t="s">
        <v>1601</v>
      </c>
      <c r="F482" s="16" t="s">
        <v>98</v>
      </c>
      <c r="G482" s="16" t="s">
        <v>51</v>
      </c>
      <c r="H482" s="16" t="s">
        <v>71</v>
      </c>
      <c r="I482" s="16" t="s">
        <v>277</v>
      </c>
      <c r="J482" s="16" t="s">
        <v>278</v>
      </c>
      <c r="K482" s="16" t="s">
        <v>39</v>
      </c>
      <c r="L482" s="16" t="s">
        <v>145</v>
      </c>
      <c r="M482" s="16" t="s">
        <v>1602</v>
      </c>
      <c r="N482" s="16" t="s">
        <v>232</v>
      </c>
      <c r="O482" s="16">
        <v>5</v>
      </c>
      <c r="P482" s="18">
        <v>905.16</v>
      </c>
      <c r="Q482" s="19">
        <v>0</v>
      </c>
      <c r="R482" s="19">
        <v>0</v>
      </c>
      <c r="S482" s="18">
        <v>4525.8</v>
      </c>
      <c r="T482" s="18">
        <v>2714.51</v>
      </c>
      <c r="U482" s="18">
        <v>1811.29</v>
      </c>
      <c r="V482" s="16" t="s">
        <v>43</v>
      </c>
      <c r="W482" s="16" t="s">
        <v>44</v>
      </c>
      <c r="X482" s="18">
        <f>IF(OR(O482="",P482="",R482=""),"",O482*P482*(1-R482))</f>
        <v>4525.8</v>
      </c>
      <c r="Y482" s="18">
        <f>IF(OR(X482="",T482=""),"",X482-T482)</f>
        <v>1811.29</v>
      </c>
      <c r="Z482" s="19">
        <f>IFERROR(Y482/X482,"")</f>
        <v>0.4002</v>
      </c>
      <c r="AA482" s="16">
        <f>IF(OR(C482="",D482=""),"",D482-C482)</f>
        <v>4</v>
      </c>
      <c r="AB482" s="16">
        <f>IF(C482="","",MONTH(C482))</f>
        <v>1</v>
      </c>
      <c r="AC482" s="16">
        <f>IF(C482="","",YEAR(C482))</f>
        <v>2025</v>
      </c>
      <c r="AD482" s="16" t="s">
        <v>86</v>
      </c>
      <c r="AE482" s="16" t="s">
        <v>46</v>
      </c>
      <c r="AF482" s="16" t="s">
        <v>442</v>
      </c>
    </row>
    <row r="483" spans="1:32" s="10" customFormat="1" x14ac:dyDescent="0.25">
      <c r="A483" s="11">
        <v>483</v>
      </c>
      <c r="B483" s="11" t="s">
        <v>1603</v>
      </c>
      <c r="C483" s="12">
        <v>45812.77083333333</v>
      </c>
      <c r="D483" s="12">
        <v>45820.77083333333</v>
      </c>
      <c r="E483" s="11" t="s">
        <v>1604</v>
      </c>
      <c r="F483" s="11" t="s">
        <v>61</v>
      </c>
      <c r="G483" s="11" t="s">
        <v>35</v>
      </c>
      <c r="H483" s="11" t="s">
        <v>36</v>
      </c>
      <c r="I483" s="11" t="s">
        <v>157</v>
      </c>
      <c r="J483" s="11" t="s">
        <v>158</v>
      </c>
      <c r="K483" s="11" t="s">
        <v>93</v>
      </c>
      <c r="L483" s="11" t="s">
        <v>305</v>
      </c>
      <c r="M483" s="11" t="s">
        <v>1605</v>
      </c>
      <c r="N483" s="11" t="s">
        <v>58</v>
      </c>
      <c r="O483" s="11">
        <v>4</v>
      </c>
      <c r="P483" s="13">
        <v>2793.88</v>
      </c>
      <c r="Q483" s="14"/>
      <c r="R483" s="14">
        <v>0</v>
      </c>
      <c r="S483" s="13">
        <v>10616.74</v>
      </c>
      <c r="T483" s="13">
        <v>6353.59</v>
      </c>
      <c r="U483" s="13">
        <v>4263.15</v>
      </c>
      <c r="V483" s="11" t="s">
        <v>43</v>
      </c>
      <c r="W483" s="11" t="s">
        <v>44</v>
      </c>
      <c r="X483" s="13">
        <f>IF(OR(O483="",P483="",R483=""),"",O483*P483*(1-R483))</f>
        <v>11175.52</v>
      </c>
      <c r="Y483" s="13">
        <f>IF(OR(X483="",T483=""),"",X483-T483)</f>
        <v>4821.93</v>
      </c>
      <c r="Z483" s="14">
        <f>IFERROR(Y483/X483,"")</f>
        <v>0.4315</v>
      </c>
      <c r="AA483" s="11">
        <f>IF(OR(C483="",D483=""),"",D483-C483)</f>
        <v>8</v>
      </c>
      <c r="AB483" s="11">
        <f>IF(C483="","",MONTH(C483))</f>
        <v>6</v>
      </c>
      <c r="AC483" s="11">
        <f>IF(C483="","",YEAR(C483))</f>
        <v>2025</v>
      </c>
      <c r="AD483" s="11" t="s">
        <v>65</v>
      </c>
      <c r="AE483" s="11" t="s">
        <v>66</v>
      </c>
      <c r="AF483" s="11" t="s">
        <v>225</v>
      </c>
    </row>
    <row r="484" spans="1:32" x14ac:dyDescent="0.25">
      <c r="A484" s="1">
        <v>484</v>
      </c>
      <c r="B484" s="1" t="s">
        <v>1606</v>
      </c>
      <c r="C484" s="2">
        <v>45494.77083333333</v>
      </c>
      <c r="D484" s="2">
        <v>45494.77083333333</v>
      </c>
      <c r="E484" s="1" t="s">
        <v>1607</v>
      </c>
      <c r="F484" s="1" t="s">
        <v>135</v>
      </c>
      <c r="G484" s="1" t="s">
        <v>35</v>
      </c>
      <c r="H484" s="1" t="s">
        <v>71</v>
      </c>
      <c r="I484" s="1" t="s">
        <v>201</v>
      </c>
      <c r="J484" s="1" t="s">
        <v>202</v>
      </c>
      <c r="K484" s="1" t="s">
        <v>93</v>
      </c>
      <c r="L484" s="1" t="s">
        <v>94</v>
      </c>
      <c r="M484" s="1" t="s">
        <v>1608</v>
      </c>
      <c r="N484" s="1" t="s">
        <v>42</v>
      </c>
      <c r="O484" s="1">
        <v>3</v>
      </c>
      <c r="P484" s="3">
        <v>1286.22</v>
      </c>
      <c r="Q484" s="4">
        <v>0.25</v>
      </c>
      <c r="R484" s="4">
        <v>0.25</v>
      </c>
      <c r="S484" s="3">
        <v>2893.99</v>
      </c>
      <c r="T484" s="3">
        <v>1856.03</v>
      </c>
      <c r="U484" s="3">
        <v>1037.96</v>
      </c>
      <c r="V484" s="1" t="s">
        <v>43</v>
      </c>
      <c r="W484" s="1" t="s">
        <v>44</v>
      </c>
      <c r="X484" s="3">
        <f>IF(OR(O484="",P484="",R484=""),"",O484*P484*(1-R484))</f>
        <v>2894</v>
      </c>
      <c r="Y484" s="3">
        <f>IF(OR(X484="",T484=""),"",X484-T484)</f>
        <v>1037.97</v>
      </c>
      <c r="Z484" s="4">
        <f>IFERROR(Y484/X484,"")</f>
        <v>0.3587</v>
      </c>
      <c r="AA484" s="1">
        <f>IF(OR(C484="",D484=""),"",D484-C484)</f>
        <v>0</v>
      </c>
      <c r="AB484" s="1">
        <f>IF(C484="","",MONTH(C484))</f>
        <v>7</v>
      </c>
      <c r="AC484" s="1">
        <f>IF(C484="","",YEAR(C484))</f>
        <v>2024</v>
      </c>
      <c r="AD484" s="1" t="s">
        <v>45</v>
      </c>
      <c r="AE484" s="1" t="s">
        <v>46</v>
      </c>
      <c r="AF484" s="1" t="s">
        <v>47</v>
      </c>
    </row>
    <row r="485" spans="1:32" x14ac:dyDescent="0.25">
      <c r="A485" s="1">
        <v>485</v>
      </c>
      <c r="B485" s="1" t="s">
        <v>1609</v>
      </c>
      <c r="C485" s="2">
        <v>45650.77083333333</v>
      </c>
      <c r="D485" s="2">
        <v>45650.77083333333</v>
      </c>
      <c r="E485" s="1" t="s">
        <v>1610</v>
      </c>
      <c r="F485" s="1" t="s">
        <v>50</v>
      </c>
      <c r="G485" s="1" t="s">
        <v>109</v>
      </c>
      <c r="H485" s="1" t="s">
        <v>52</v>
      </c>
      <c r="I485" s="1" t="s">
        <v>168</v>
      </c>
      <c r="J485" s="1" t="s">
        <v>169</v>
      </c>
      <c r="K485" s="1" t="s">
        <v>93</v>
      </c>
      <c r="L485" s="1" t="s">
        <v>99</v>
      </c>
      <c r="M485" s="1" t="s">
        <v>1611</v>
      </c>
      <c r="N485" s="1" t="s">
        <v>76</v>
      </c>
      <c r="O485" s="1">
        <v>1</v>
      </c>
      <c r="P485" s="3">
        <v>829.66</v>
      </c>
      <c r="Q485" s="4">
        <v>0.15</v>
      </c>
      <c r="R485" s="4">
        <v>0.15</v>
      </c>
      <c r="S485" s="3">
        <v>705.21</v>
      </c>
      <c r="T485" s="3">
        <v>438.32</v>
      </c>
      <c r="U485" s="3">
        <v>266.89</v>
      </c>
      <c r="V485" s="1" t="s">
        <v>43</v>
      </c>
      <c r="W485" s="1" t="s">
        <v>44</v>
      </c>
      <c r="X485" s="3">
        <f>IF(OR(O485="",P485="",R485=""),"",O485*P485*(1-R485))</f>
        <v>705.21</v>
      </c>
      <c r="Y485" s="3">
        <f>IF(OR(X485="",T485=""),"",X485-T485)</f>
        <v>266.89</v>
      </c>
      <c r="Z485" s="4">
        <f>IFERROR(Y485/X485,"")</f>
        <v>0.3785</v>
      </c>
      <c r="AA485" s="1">
        <f>IF(OR(C485="",D485=""),"",D485-C485)</f>
        <v>0</v>
      </c>
      <c r="AB485" s="1">
        <f>IF(C485="","",MONTH(C485))</f>
        <v>12</v>
      </c>
      <c r="AC485" s="1">
        <f>IF(C485="","",YEAR(C485))</f>
        <v>2024</v>
      </c>
      <c r="AD485" s="1" t="s">
        <v>45</v>
      </c>
      <c r="AE485" s="1" t="s">
        <v>46</v>
      </c>
      <c r="AF485" s="1" t="s">
        <v>47</v>
      </c>
    </row>
    <row r="486" spans="1:32" x14ac:dyDescent="0.25">
      <c r="A486" s="1">
        <v>486</v>
      </c>
      <c r="B486" s="1" t="s">
        <v>1612</v>
      </c>
      <c r="C486" s="2">
        <v>45653.77083333333</v>
      </c>
      <c r="D486" s="2">
        <v>45656.77083333333</v>
      </c>
      <c r="E486" s="1" t="s">
        <v>1613</v>
      </c>
      <c r="F486" s="1" t="s">
        <v>50</v>
      </c>
      <c r="G486" s="1" t="s">
        <v>51</v>
      </c>
      <c r="H486" s="1" t="s">
        <v>71</v>
      </c>
      <c r="I486" s="1" t="s">
        <v>103</v>
      </c>
      <c r="J486" s="1" t="s">
        <v>104</v>
      </c>
      <c r="K486" s="1" t="s">
        <v>55</v>
      </c>
      <c r="L486" s="1" t="s">
        <v>74</v>
      </c>
      <c r="M486" s="1" t="s">
        <v>1614</v>
      </c>
      <c r="N486" s="1" t="s">
        <v>64</v>
      </c>
      <c r="O486" s="1">
        <v>6</v>
      </c>
      <c r="P486" s="3">
        <v>3641.22</v>
      </c>
      <c r="Q486" s="4">
        <v>0.25</v>
      </c>
      <c r="R486" s="4">
        <v>0.25</v>
      </c>
      <c r="S486" s="3">
        <v>16385.49</v>
      </c>
      <c r="T486" s="3">
        <v>13679.24</v>
      </c>
      <c r="U486" s="3">
        <v>2706.25</v>
      </c>
      <c r="V486" s="1" t="s">
        <v>43</v>
      </c>
      <c r="W486" s="1" t="s">
        <v>44</v>
      </c>
      <c r="X486" s="3">
        <f>IF(OR(O486="",P486="",R486=""),"",O486*P486*(1-R486))</f>
        <v>16385.49</v>
      </c>
      <c r="Y486" s="3">
        <f>IF(OR(X486="",T486=""),"",X486-T486)</f>
        <v>2706.25</v>
      </c>
      <c r="Z486" s="4">
        <f>IFERROR(Y486/X486,"")</f>
        <v>0.1652</v>
      </c>
      <c r="AA486" s="1">
        <f>IF(OR(C486="",D486=""),"",D486-C486)</f>
        <v>3</v>
      </c>
      <c r="AB486" s="1">
        <f>IF(C486="","",MONTH(C486))</f>
        <v>12</v>
      </c>
      <c r="AC486" s="1">
        <f>IF(C486="","",YEAR(C486))</f>
        <v>2024</v>
      </c>
      <c r="AD486" s="1" t="s">
        <v>45</v>
      </c>
      <c r="AE486" s="1" t="s">
        <v>46</v>
      </c>
      <c r="AF486" s="1" t="s">
        <v>47</v>
      </c>
    </row>
    <row r="487" spans="1:32" x14ac:dyDescent="0.25">
      <c r="A487" s="1">
        <v>487</v>
      </c>
      <c r="B487" s="1" t="s">
        <v>1615</v>
      </c>
      <c r="C487" s="2">
        <v>45678.77083333333</v>
      </c>
      <c r="D487" s="2">
        <v>45679.77083333333</v>
      </c>
      <c r="E487" s="1" t="s">
        <v>1616</v>
      </c>
      <c r="F487" s="1" t="s">
        <v>139</v>
      </c>
      <c r="G487" s="1" t="s">
        <v>109</v>
      </c>
      <c r="H487" s="1" t="s">
        <v>80</v>
      </c>
      <c r="I487" s="1" t="s">
        <v>216</v>
      </c>
      <c r="J487" s="1" t="s">
        <v>217</v>
      </c>
      <c r="K487" s="1" t="s">
        <v>55</v>
      </c>
      <c r="L487" s="1" t="s">
        <v>182</v>
      </c>
      <c r="M487" s="1" t="s">
        <v>1617</v>
      </c>
      <c r="N487" s="1" t="s">
        <v>76</v>
      </c>
      <c r="O487" s="1">
        <v>4</v>
      </c>
      <c r="P487" s="3">
        <v>2555.19</v>
      </c>
      <c r="Q487" s="4">
        <v>0.25</v>
      </c>
      <c r="R487" s="4">
        <v>0.25</v>
      </c>
      <c r="S487" s="3">
        <v>7665.57</v>
      </c>
      <c r="T487" s="3">
        <v>5595.6</v>
      </c>
      <c r="U487" s="3">
        <v>2069.97</v>
      </c>
      <c r="V487" s="1" t="s">
        <v>43</v>
      </c>
      <c r="W487" s="1" t="s">
        <v>44</v>
      </c>
      <c r="X487" s="3">
        <f>IF(OR(O487="",P487="",R487=""),"",O487*P487*(1-R487))</f>
        <v>7665.57</v>
      </c>
      <c r="Y487" s="3">
        <f>IF(OR(X487="",T487=""),"",X487-T487)</f>
        <v>2069.97</v>
      </c>
      <c r="Z487" s="4">
        <f>IFERROR(Y487/X487,"")</f>
        <v>0.27</v>
      </c>
      <c r="AA487" s="1">
        <f>IF(OR(C487="",D487=""),"",D487-C487)</f>
        <v>1</v>
      </c>
      <c r="AB487" s="1">
        <f>IF(C487="","",MONTH(C487))</f>
        <v>1</v>
      </c>
      <c r="AC487" s="1">
        <f>IF(C487="","",YEAR(C487))</f>
        <v>2025</v>
      </c>
      <c r="AD487" s="1" t="s">
        <v>45</v>
      </c>
      <c r="AE487" s="1" t="s">
        <v>46</v>
      </c>
      <c r="AF487" s="1" t="s">
        <v>47</v>
      </c>
    </row>
    <row r="488" spans="1:32" x14ac:dyDescent="0.25">
      <c r="A488" s="1">
        <v>488</v>
      </c>
      <c r="B488" s="1" t="s">
        <v>1618</v>
      </c>
      <c r="C488" s="2">
        <v>45829.77083333333</v>
      </c>
      <c r="D488" s="2">
        <v>45833.77083333333</v>
      </c>
      <c r="E488" s="1" t="s">
        <v>1619</v>
      </c>
      <c r="F488" s="1" t="s">
        <v>139</v>
      </c>
      <c r="G488" s="1" t="s">
        <v>109</v>
      </c>
      <c r="H488" s="1" t="s">
        <v>80</v>
      </c>
      <c r="I488" s="1" t="s">
        <v>216</v>
      </c>
      <c r="J488" s="1" t="s">
        <v>217</v>
      </c>
      <c r="K488" s="1" t="s">
        <v>55</v>
      </c>
      <c r="L488" s="1" t="s">
        <v>56</v>
      </c>
      <c r="M488" s="1" t="s">
        <v>1620</v>
      </c>
      <c r="N488" s="1" t="s">
        <v>76</v>
      </c>
      <c r="O488" s="1">
        <v>3</v>
      </c>
      <c r="P488" s="3">
        <v>1946.18</v>
      </c>
      <c r="Q488" s="4">
        <v>0.2</v>
      </c>
      <c r="R488" s="4">
        <v>0.2</v>
      </c>
      <c r="S488" s="3">
        <v>4670.83</v>
      </c>
      <c r="T488" s="3">
        <v>3166.49</v>
      </c>
      <c r="U488" s="3">
        <v>1504.34</v>
      </c>
      <c r="V488" s="1" t="s">
        <v>43</v>
      </c>
      <c r="W488" s="1" t="s">
        <v>44</v>
      </c>
      <c r="X488" s="3">
        <f>IF(OR(O488="",P488="",R488=""),"",O488*P488*(1-R488))</f>
        <v>4670.83</v>
      </c>
      <c r="Y488" s="3">
        <f>IF(OR(X488="",T488=""),"",X488-T488)</f>
        <v>1504.34</v>
      </c>
      <c r="Z488" s="4">
        <f>IFERROR(Y488/X488,"")</f>
        <v>0.3221</v>
      </c>
      <c r="AA488" s="1">
        <f>IF(OR(C488="",D488=""),"",D488-C488)</f>
        <v>4</v>
      </c>
      <c r="AB488" s="1">
        <f>IF(C488="","",MONTH(C488))</f>
        <v>6</v>
      </c>
      <c r="AC488" s="1">
        <f>IF(C488="","",YEAR(C488))</f>
        <v>2025</v>
      </c>
      <c r="AD488" s="1" t="s">
        <v>45</v>
      </c>
      <c r="AE488" s="1" t="s">
        <v>46</v>
      </c>
      <c r="AF488" s="1" t="s">
        <v>47</v>
      </c>
    </row>
    <row r="489" spans="1:32" s="15" customFormat="1" x14ac:dyDescent="0.25">
      <c r="A489" s="16">
        <v>489</v>
      </c>
      <c r="B489" s="16" t="s">
        <v>1621</v>
      </c>
      <c r="C489" s="17">
        <v>45817.77083333333</v>
      </c>
      <c r="D489" s="17">
        <v>45824.77083333333</v>
      </c>
      <c r="E489" s="16" t="s">
        <v>1622</v>
      </c>
      <c r="F489" s="16" t="s">
        <v>139</v>
      </c>
      <c r="G489" s="16" t="s">
        <v>109</v>
      </c>
      <c r="H489" s="16" t="s">
        <v>71</v>
      </c>
      <c r="I489" s="16" t="s">
        <v>72</v>
      </c>
      <c r="J489" s="16" t="s">
        <v>73</v>
      </c>
      <c r="K489" s="16" t="s">
        <v>55</v>
      </c>
      <c r="L489" s="16" t="s">
        <v>74</v>
      </c>
      <c r="M489" s="16" t="s">
        <v>1623</v>
      </c>
      <c r="N489" s="16" t="s">
        <v>76</v>
      </c>
      <c r="O489" s="16">
        <v>5</v>
      </c>
      <c r="P489" s="18">
        <v>1231.1</v>
      </c>
      <c r="Q489" s="19">
        <v>0</v>
      </c>
      <c r="R489" s="19">
        <v>0</v>
      </c>
      <c r="S489" s="18">
        <v>6155.5</v>
      </c>
      <c r="T489" s="18">
        <v>4282.09</v>
      </c>
      <c r="U489" s="18">
        <v>1873.41</v>
      </c>
      <c r="V489" s="16" t="s">
        <v>121</v>
      </c>
      <c r="W489" s="16" t="s">
        <v>122</v>
      </c>
      <c r="X489" s="18">
        <f>IF(OR(O489="",P489="",R489=""),"",O489*P489*(1-R489))</f>
        <v>6155.5</v>
      </c>
      <c r="Y489" s="18">
        <f>IF(OR(X489="",T489=""),"",X489-T489)</f>
        <v>1873.41</v>
      </c>
      <c r="Z489" s="19">
        <f>IFERROR(Y489/X489,"")</f>
        <v>0.3043</v>
      </c>
      <c r="AA489" s="16">
        <f>IF(OR(C489="",D489=""),"",D489-C489)</f>
        <v>7</v>
      </c>
      <c r="AB489" s="16">
        <f>IF(C489="","",MONTH(C489))</f>
        <v>6</v>
      </c>
      <c r="AC489" s="16">
        <f>IF(C489="","",YEAR(C489))</f>
        <v>2025</v>
      </c>
      <c r="AD489" s="16" t="s">
        <v>86</v>
      </c>
      <c r="AE489" s="16" t="s">
        <v>66</v>
      </c>
      <c r="AF489" s="16" t="s">
        <v>123</v>
      </c>
    </row>
    <row r="490" spans="1:32" x14ac:dyDescent="0.25">
      <c r="A490" s="1">
        <v>490</v>
      </c>
      <c r="B490" s="1" t="s">
        <v>1624</v>
      </c>
      <c r="C490" s="2">
        <v>45578.77083333333</v>
      </c>
      <c r="D490" s="2">
        <v>45584.77083333333</v>
      </c>
      <c r="E490" s="1" t="s">
        <v>1625</v>
      </c>
      <c r="F490" s="1" t="s">
        <v>108</v>
      </c>
      <c r="G490" s="1" t="s">
        <v>51</v>
      </c>
      <c r="H490" s="1" t="s">
        <v>36</v>
      </c>
      <c r="I490" s="1" t="s">
        <v>37</v>
      </c>
      <c r="J490" s="1" t="s">
        <v>38</v>
      </c>
      <c r="K490" s="1" t="s">
        <v>55</v>
      </c>
      <c r="L490" s="1" t="s">
        <v>56</v>
      </c>
      <c r="M490" s="1" t="s">
        <v>1626</v>
      </c>
      <c r="N490" s="1" t="s">
        <v>58</v>
      </c>
      <c r="O490" s="1">
        <v>7</v>
      </c>
      <c r="P490" s="3">
        <v>1547.6</v>
      </c>
      <c r="Q490" s="4">
        <v>0.2</v>
      </c>
      <c r="R490" s="4">
        <v>0.2</v>
      </c>
      <c r="S490" s="3">
        <v>8666.56</v>
      </c>
      <c r="T490" s="3">
        <v>5967.44</v>
      </c>
      <c r="U490" s="3">
        <v>2699.12</v>
      </c>
      <c r="V490" s="1" t="s">
        <v>43</v>
      </c>
      <c r="W490" s="1" t="s">
        <v>44</v>
      </c>
      <c r="X490" s="3">
        <f>IF(OR(O490="",P490="",R490=""),"",O490*P490*(1-R490))</f>
        <v>8666.56</v>
      </c>
      <c r="Y490" s="3">
        <f>IF(OR(X490="",T490=""),"",X490-T490)</f>
        <v>2699.12</v>
      </c>
      <c r="Z490" s="4">
        <f>IFERROR(Y490/X490,"")</f>
        <v>0.3114</v>
      </c>
      <c r="AA490" s="1">
        <f>IF(OR(C490="",D490=""),"",D490-C490)</f>
        <v>6</v>
      </c>
      <c r="AB490" s="1">
        <f>IF(C490="","",MONTH(C490))</f>
        <v>10</v>
      </c>
      <c r="AC490" s="1">
        <f>IF(C490="","",YEAR(C490))</f>
        <v>2024</v>
      </c>
      <c r="AD490" s="1" t="s">
        <v>45</v>
      </c>
      <c r="AE490" s="1" t="s">
        <v>46</v>
      </c>
      <c r="AF490" s="1" t="s">
        <v>47</v>
      </c>
    </row>
    <row r="491" spans="1:32" x14ac:dyDescent="0.25">
      <c r="A491" s="1">
        <v>491</v>
      </c>
      <c r="B491" s="1" t="s">
        <v>1627</v>
      </c>
      <c r="C491" s="2">
        <v>45328.77083333333</v>
      </c>
      <c r="D491" s="2">
        <v>45333.77083333333</v>
      </c>
      <c r="E491" s="1" t="s">
        <v>1628</v>
      </c>
      <c r="F491" s="1" t="s">
        <v>70</v>
      </c>
      <c r="G491" s="1" t="s">
        <v>114</v>
      </c>
      <c r="H491" s="1" t="s">
        <v>52</v>
      </c>
      <c r="I491" s="1" t="s">
        <v>118</v>
      </c>
      <c r="J491" s="1" t="s">
        <v>119</v>
      </c>
      <c r="K491" s="1" t="s">
        <v>93</v>
      </c>
      <c r="L491" s="1" t="s">
        <v>94</v>
      </c>
      <c r="M491" s="1" t="s">
        <v>1629</v>
      </c>
      <c r="N491" s="1" t="s">
        <v>42</v>
      </c>
      <c r="O491" s="1">
        <v>1</v>
      </c>
      <c r="P491" s="3">
        <v>452.19</v>
      </c>
      <c r="Q491" s="4">
        <v>0.2</v>
      </c>
      <c r="R491" s="4">
        <v>0.2</v>
      </c>
      <c r="S491" s="3">
        <v>361.75</v>
      </c>
      <c r="T491" s="3">
        <v>262.53</v>
      </c>
      <c r="U491" s="3">
        <v>99.22</v>
      </c>
      <c r="V491" s="1" t="s">
        <v>43</v>
      </c>
      <c r="W491" s="1" t="s">
        <v>44</v>
      </c>
      <c r="X491" s="3">
        <f>IF(OR(O491="",P491="",R491=""),"",O491*P491*(1-R491))</f>
        <v>361.75</v>
      </c>
      <c r="Y491" s="3">
        <f>IF(OR(X491="",T491=""),"",X491-T491)</f>
        <v>99.22</v>
      </c>
      <c r="Z491" s="4">
        <f>IFERROR(Y491/X491,"")</f>
        <v>0.2743</v>
      </c>
      <c r="AA491" s="1">
        <f>IF(OR(C491="",D491=""),"",D491-C491)</f>
        <v>5</v>
      </c>
      <c r="AB491" s="1">
        <f>IF(C491="","",MONTH(C491))</f>
        <v>2</v>
      </c>
      <c r="AC491" s="1">
        <f>IF(C491="","",YEAR(C491))</f>
        <v>2024</v>
      </c>
      <c r="AD491" s="1" t="s">
        <v>45</v>
      </c>
      <c r="AE491" s="1" t="s">
        <v>46</v>
      </c>
      <c r="AF491" s="1" t="s">
        <v>47</v>
      </c>
    </row>
    <row r="492" spans="1:32" x14ac:dyDescent="0.25">
      <c r="A492" s="1">
        <v>492</v>
      </c>
      <c r="B492" s="1" t="s">
        <v>1630</v>
      </c>
      <c r="C492" s="2">
        <v>45550.77083333333</v>
      </c>
      <c r="D492" s="2">
        <v>45553.77083333333</v>
      </c>
      <c r="E492" s="1" t="s">
        <v>1631</v>
      </c>
      <c r="F492" s="1" t="s">
        <v>108</v>
      </c>
      <c r="G492" s="1" t="s">
        <v>35</v>
      </c>
      <c r="H492" s="1" t="s">
        <v>80</v>
      </c>
      <c r="I492" s="1" t="s">
        <v>37</v>
      </c>
      <c r="J492" s="1" t="s">
        <v>129</v>
      </c>
      <c r="K492" s="1" t="s">
        <v>39</v>
      </c>
      <c r="L492" s="1" t="s">
        <v>176</v>
      </c>
      <c r="M492" s="1" t="s">
        <v>1632</v>
      </c>
      <c r="N492" s="1" t="s">
        <v>64</v>
      </c>
      <c r="O492" s="1">
        <v>7</v>
      </c>
      <c r="P492" s="3">
        <v>406.42</v>
      </c>
      <c r="Q492" s="4">
        <v>0.15</v>
      </c>
      <c r="R492" s="4">
        <v>0.15</v>
      </c>
      <c r="S492" s="3">
        <v>2418.2</v>
      </c>
      <c r="T492" s="3">
        <v>1613.82</v>
      </c>
      <c r="U492" s="3">
        <v>804.38</v>
      </c>
      <c r="V492" s="1" t="s">
        <v>43</v>
      </c>
      <c r="W492" s="1" t="s">
        <v>44</v>
      </c>
      <c r="X492" s="3">
        <f>IF(OR(O492="",P492="",R492=""),"",O492*P492*(1-R492))</f>
        <v>2418.2</v>
      </c>
      <c r="Y492" s="3">
        <f>IF(OR(X492="",T492=""),"",X492-T492)</f>
        <v>804.38</v>
      </c>
      <c r="Z492" s="4">
        <f>IFERROR(Y492/X492,"")</f>
        <v>0.3326</v>
      </c>
      <c r="AA492" s="1">
        <f>IF(OR(C492="",D492=""),"",D492-C492)</f>
        <v>3</v>
      </c>
      <c r="AB492" s="1">
        <f>IF(C492="","",MONTH(C492))</f>
        <v>9</v>
      </c>
      <c r="AC492" s="1">
        <f>IF(C492="","",YEAR(C492))</f>
        <v>2024</v>
      </c>
      <c r="AD492" s="1" t="s">
        <v>45</v>
      </c>
      <c r="AE492" s="1" t="s">
        <v>46</v>
      </c>
      <c r="AF492" s="1" t="s">
        <v>47</v>
      </c>
    </row>
    <row r="493" spans="1:32" x14ac:dyDescent="0.25">
      <c r="A493" s="1">
        <v>493</v>
      </c>
      <c r="B493" s="1" t="s">
        <v>1633</v>
      </c>
      <c r="C493" s="2">
        <v>45775.77083333333</v>
      </c>
      <c r="D493" s="2">
        <v>45776.77083333333</v>
      </c>
      <c r="E493" s="1" t="s">
        <v>1634</v>
      </c>
      <c r="F493" s="1" t="s">
        <v>50</v>
      </c>
      <c r="G493" s="1" t="s">
        <v>109</v>
      </c>
      <c r="H493" s="1" t="s">
        <v>71</v>
      </c>
      <c r="I493" s="1" t="s">
        <v>211</v>
      </c>
      <c r="J493" s="1" t="s">
        <v>212</v>
      </c>
      <c r="K493" s="1" t="s">
        <v>93</v>
      </c>
      <c r="L493" s="1" t="s">
        <v>94</v>
      </c>
      <c r="M493" s="1" t="s">
        <v>1635</v>
      </c>
      <c r="N493" s="1" t="s">
        <v>76</v>
      </c>
      <c r="O493" s="1">
        <v>4</v>
      </c>
      <c r="P493" s="3">
        <v>606.58</v>
      </c>
      <c r="Q493" s="4">
        <v>0.2</v>
      </c>
      <c r="R493" s="4">
        <v>0.2</v>
      </c>
      <c r="S493" s="3">
        <v>1941.06</v>
      </c>
      <c r="T493" s="3">
        <v>1207.42</v>
      </c>
      <c r="U493" s="3">
        <v>733.64</v>
      </c>
      <c r="V493" s="1" t="s">
        <v>43</v>
      </c>
      <c r="W493" s="1" t="s">
        <v>44</v>
      </c>
      <c r="X493" s="3">
        <f>IF(OR(O493="",P493="",R493=""),"",O493*P493*(1-R493))</f>
        <v>1941.06</v>
      </c>
      <c r="Y493" s="3">
        <f>IF(OR(X493="",T493=""),"",X493-T493)</f>
        <v>733.64</v>
      </c>
      <c r="Z493" s="4">
        <f>IFERROR(Y493/X493,"")</f>
        <v>0.378</v>
      </c>
      <c r="AA493" s="1">
        <f>IF(OR(C493="",D493=""),"",D493-C493)</f>
        <v>1</v>
      </c>
      <c r="AB493" s="1">
        <f>IF(C493="","",MONTH(C493))</f>
        <v>4</v>
      </c>
      <c r="AC493" s="1">
        <f>IF(C493="","",YEAR(C493))</f>
        <v>2025</v>
      </c>
      <c r="AD493" s="1" t="s">
        <v>45</v>
      </c>
      <c r="AE493" s="1" t="s">
        <v>46</v>
      </c>
      <c r="AF493" s="1" t="s">
        <v>47</v>
      </c>
    </row>
    <row r="494" spans="1:32" x14ac:dyDescent="0.25">
      <c r="A494" s="1">
        <v>494</v>
      </c>
      <c r="B494" s="1" t="s">
        <v>1636</v>
      </c>
      <c r="C494" s="2">
        <v>45835.77083333333</v>
      </c>
      <c r="D494" s="2">
        <v>45839.77083333333</v>
      </c>
      <c r="E494" s="1" t="s">
        <v>1637</v>
      </c>
      <c r="F494" s="1" t="s">
        <v>79</v>
      </c>
      <c r="G494" s="1" t="s">
        <v>109</v>
      </c>
      <c r="H494" s="1" t="s">
        <v>71</v>
      </c>
      <c r="I494" s="1" t="s">
        <v>103</v>
      </c>
      <c r="J494" s="1" t="s">
        <v>104</v>
      </c>
      <c r="K494" s="1" t="s">
        <v>39</v>
      </c>
      <c r="L494" s="1" t="s">
        <v>145</v>
      </c>
      <c r="M494" s="1" t="s">
        <v>1638</v>
      </c>
      <c r="N494" s="1" t="s">
        <v>42</v>
      </c>
      <c r="O494" s="1">
        <v>2</v>
      </c>
      <c r="P494" s="3">
        <v>2725.44</v>
      </c>
      <c r="Q494" s="4">
        <v>0.25</v>
      </c>
      <c r="R494" s="4">
        <v>0.25</v>
      </c>
      <c r="S494" s="3">
        <v>4088.16</v>
      </c>
      <c r="T494" s="3">
        <v>3205.68</v>
      </c>
      <c r="U494" s="3">
        <v>882.48</v>
      </c>
      <c r="V494" s="1" t="s">
        <v>43</v>
      </c>
      <c r="W494" s="1" t="s">
        <v>44</v>
      </c>
      <c r="X494" s="3">
        <f>IF(OR(O494="",P494="",R494=""),"",O494*P494*(1-R494))</f>
        <v>4088.16</v>
      </c>
      <c r="Y494" s="3">
        <f>IF(OR(X494="",T494=""),"",X494-T494)</f>
        <v>882.48</v>
      </c>
      <c r="Z494" s="4">
        <f>IFERROR(Y494/X494,"")</f>
        <v>0.2159</v>
      </c>
      <c r="AA494" s="1">
        <f>IF(OR(C494="",D494=""),"",D494-C494)</f>
        <v>4</v>
      </c>
      <c r="AB494" s="1">
        <f>IF(C494="","",MONTH(C494))</f>
        <v>6</v>
      </c>
      <c r="AC494" s="1">
        <f>IF(C494="","",YEAR(C494))</f>
        <v>2025</v>
      </c>
      <c r="AD494" s="1" t="s">
        <v>45</v>
      </c>
      <c r="AE494" s="1" t="s">
        <v>46</v>
      </c>
      <c r="AF494" s="1" t="s">
        <v>47</v>
      </c>
    </row>
    <row r="495" spans="1:32" x14ac:dyDescent="0.25">
      <c r="A495" s="1">
        <v>495</v>
      </c>
      <c r="B495" s="1" t="s">
        <v>1639</v>
      </c>
      <c r="C495" s="2">
        <v>45700.77083333333</v>
      </c>
      <c r="D495" s="2">
        <v>45700.77083333333</v>
      </c>
      <c r="E495" s="1" t="s">
        <v>1640</v>
      </c>
      <c r="F495" s="1" t="s">
        <v>294</v>
      </c>
      <c r="G495" s="1" t="s">
        <v>109</v>
      </c>
      <c r="H495" s="1" t="s">
        <v>52</v>
      </c>
      <c r="I495" s="1" t="s">
        <v>53</v>
      </c>
      <c r="J495" s="1" t="s">
        <v>54</v>
      </c>
      <c r="K495" s="1" t="s">
        <v>39</v>
      </c>
      <c r="L495" s="1" t="s">
        <v>40</v>
      </c>
      <c r="M495" s="1" t="s">
        <v>1641</v>
      </c>
      <c r="N495" s="1" t="s">
        <v>42</v>
      </c>
      <c r="O495" s="1">
        <v>7</v>
      </c>
      <c r="P495" s="3">
        <v>2296.7</v>
      </c>
      <c r="Q495" s="4">
        <v>0.05</v>
      </c>
      <c r="R495" s="4">
        <v>0.05</v>
      </c>
      <c r="S495" s="3">
        <v>15273.05</v>
      </c>
      <c r="T495" s="3">
        <v>11088.76</v>
      </c>
      <c r="U495" s="3">
        <v>4184.29</v>
      </c>
      <c r="V495" s="1" t="s">
        <v>43</v>
      </c>
      <c r="W495" s="1" t="s">
        <v>44</v>
      </c>
      <c r="X495" s="3">
        <f>IF(OR(O495="",P495="",R495=""),"",O495*P495*(1-R495))</f>
        <v>15273.05</v>
      </c>
      <c r="Y495" s="3">
        <f>IF(OR(X495="",T495=""),"",X495-T495)</f>
        <v>4184.29</v>
      </c>
      <c r="Z495" s="4">
        <f>IFERROR(Y495/X495,"")</f>
        <v>0.274</v>
      </c>
      <c r="AA495" s="1">
        <f>IF(OR(C495="",D495=""),"",D495-C495)</f>
        <v>0</v>
      </c>
      <c r="AB495" s="1">
        <f>IF(C495="","",MONTH(C495))</f>
        <v>2</v>
      </c>
      <c r="AC495" s="1">
        <f>IF(C495="","",YEAR(C495))</f>
        <v>2025</v>
      </c>
      <c r="AD495" s="1" t="s">
        <v>45</v>
      </c>
      <c r="AE495" s="1" t="s">
        <v>46</v>
      </c>
      <c r="AF495" s="1" t="s">
        <v>47</v>
      </c>
    </row>
    <row r="496" spans="1:32" s="10" customFormat="1" x14ac:dyDescent="0.25">
      <c r="A496" s="11">
        <v>496</v>
      </c>
      <c r="B496" s="11" t="s">
        <v>1642</v>
      </c>
      <c r="C496" s="12">
        <v>45609.77083333333</v>
      </c>
      <c r="D496" s="12">
        <v>45617.77083333333</v>
      </c>
      <c r="E496" s="11" t="s">
        <v>1643</v>
      </c>
      <c r="F496" s="11" t="s">
        <v>61</v>
      </c>
      <c r="G496" s="11" t="s">
        <v>35</v>
      </c>
      <c r="H496" s="11" t="s">
        <v>80</v>
      </c>
      <c r="I496" s="11" t="s">
        <v>91</v>
      </c>
      <c r="J496" s="11" t="s">
        <v>92</v>
      </c>
      <c r="K496" s="11" t="s">
        <v>93</v>
      </c>
      <c r="L496" s="11" t="s">
        <v>196</v>
      </c>
      <c r="M496" s="11" t="s">
        <v>1644</v>
      </c>
      <c r="N496" s="11" t="s">
        <v>76</v>
      </c>
      <c r="O496" s="11">
        <v>3</v>
      </c>
      <c r="P496" s="13">
        <v>671.68</v>
      </c>
      <c r="Q496" s="14">
        <v>-0.13</v>
      </c>
      <c r="R496" s="14">
        <v>-0.13</v>
      </c>
      <c r="S496" s="13">
        <v>1712.78</v>
      </c>
      <c r="T496" s="13">
        <v>1569.38</v>
      </c>
      <c r="U496" s="13">
        <v>360.66</v>
      </c>
      <c r="V496" s="11" t="s">
        <v>178</v>
      </c>
      <c r="W496" s="11" t="s">
        <v>85</v>
      </c>
      <c r="X496" s="13">
        <f>IF(OR(O496="",P496="",R496=""),"",O496*P496*(1-R496))</f>
        <v>2277</v>
      </c>
      <c r="Y496" s="13">
        <f>IF(OR(X496="",T496=""),"",X496-T496)</f>
        <v>707.62</v>
      </c>
      <c r="Z496" s="14">
        <f>IFERROR(Y496/X496,"")</f>
        <v>0.3108</v>
      </c>
      <c r="AA496" s="11">
        <f>IF(OR(C496="",D496=""),"",D496-C496)</f>
        <v>8</v>
      </c>
      <c r="AB496" s="11">
        <f>IF(C496="","",MONTH(C496))</f>
        <v>11</v>
      </c>
      <c r="AC496" s="11">
        <f>IF(C496="","",YEAR(C496))</f>
        <v>2024</v>
      </c>
      <c r="AD496" s="11" t="s">
        <v>65</v>
      </c>
      <c r="AE496" s="11" t="s">
        <v>66</v>
      </c>
      <c r="AF496" s="11" t="s">
        <v>1645</v>
      </c>
    </row>
    <row r="497" spans="1:32" s="15" customFormat="1" x14ac:dyDescent="0.25">
      <c r="A497" s="16">
        <v>497</v>
      </c>
      <c r="B497" s="16" t="s">
        <v>1646</v>
      </c>
      <c r="C497" s="17">
        <v>45420.77083333333</v>
      </c>
      <c r="D497" s="17">
        <v>45426.77083333333</v>
      </c>
      <c r="E497" s="16" t="s">
        <v>1647</v>
      </c>
      <c r="F497" s="16" t="s">
        <v>50</v>
      </c>
      <c r="G497" s="16" t="s">
        <v>51</v>
      </c>
      <c r="H497" s="16" t="s">
        <v>52</v>
      </c>
      <c r="I497" s="16" t="s">
        <v>191</v>
      </c>
      <c r="J497" s="16" t="s">
        <v>192</v>
      </c>
      <c r="K497" s="16" t="s">
        <v>93</v>
      </c>
      <c r="L497" s="16" t="s">
        <v>196</v>
      </c>
      <c r="M497" s="16" t="s">
        <v>1648</v>
      </c>
      <c r="N497" s="16" t="s">
        <v>42</v>
      </c>
      <c r="O497" s="16">
        <v>4</v>
      </c>
      <c r="P497" s="18">
        <v>995.98</v>
      </c>
      <c r="Q497" s="19">
        <v>0.05</v>
      </c>
      <c r="R497" s="19">
        <v>0.05</v>
      </c>
      <c r="S497" s="18">
        <v>3784.72</v>
      </c>
      <c r="T497" s="18">
        <v>2419.24</v>
      </c>
      <c r="U497" s="18">
        <v>1365.48</v>
      </c>
      <c r="V497" s="16" t="s">
        <v>121</v>
      </c>
      <c r="W497" s="16" t="s">
        <v>122</v>
      </c>
      <c r="X497" s="18">
        <f>IF(OR(O497="",P497="",R497=""),"",O497*P497*(1-R497))</f>
        <v>3784.72</v>
      </c>
      <c r="Y497" s="18">
        <f>IF(OR(X497="",T497=""),"",X497-T497)</f>
        <v>1365.48</v>
      </c>
      <c r="Z497" s="19">
        <f>IFERROR(Y497/X497,"")</f>
        <v>0.3608</v>
      </c>
      <c r="AA497" s="16">
        <f>IF(OR(C497="",D497=""),"",D497-C497)</f>
        <v>6</v>
      </c>
      <c r="AB497" s="16">
        <f>IF(C497="","",MONTH(C497))</f>
        <v>5</v>
      </c>
      <c r="AC497" s="16">
        <f>IF(C497="","",YEAR(C497))</f>
        <v>2024</v>
      </c>
      <c r="AD497" s="16" t="s">
        <v>86</v>
      </c>
      <c r="AE497" s="16" t="s">
        <v>66</v>
      </c>
      <c r="AF497" s="16" t="s">
        <v>123</v>
      </c>
    </row>
    <row r="498" spans="1:32" x14ac:dyDescent="0.25">
      <c r="A498" s="1">
        <v>498</v>
      </c>
      <c r="B498" s="1" t="s">
        <v>1649</v>
      </c>
      <c r="C498" s="2">
        <v>45841.77083333333</v>
      </c>
      <c r="D498" s="2">
        <v>45843.77083333333</v>
      </c>
      <c r="E498" s="1" t="s">
        <v>1650</v>
      </c>
      <c r="F498" s="1" t="s">
        <v>294</v>
      </c>
      <c r="G498" s="1" t="s">
        <v>51</v>
      </c>
      <c r="H498" s="1" t="s">
        <v>52</v>
      </c>
      <c r="I498" s="1" t="s">
        <v>258</v>
      </c>
      <c r="J498" s="1" t="s">
        <v>259</v>
      </c>
      <c r="K498" s="1" t="s">
        <v>55</v>
      </c>
      <c r="L498" s="1" t="s">
        <v>83</v>
      </c>
      <c r="M498" s="1" t="s">
        <v>1651</v>
      </c>
      <c r="N498" s="1" t="s">
        <v>42</v>
      </c>
      <c r="O498" s="1">
        <v>2</v>
      </c>
      <c r="P498" s="3">
        <v>3686.42</v>
      </c>
      <c r="Q498" s="4">
        <v>0.1</v>
      </c>
      <c r="R498" s="4">
        <v>0.1</v>
      </c>
      <c r="S498" s="3">
        <v>6635.56</v>
      </c>
      <c r="T498" s="3">
        <v>3652.91</v>
      </c>
      <c r="U498" s="3">
        <v>2982.65</v>
      </c>
      <c r="V498" s="1" t="s">
        <v>43</v>
      </c>
      <c r="W498" s="1" t="s">
        <v>44</v>
      </c>
      <c r="X498" s="3">
        <f>IF(OR(O498="",P498="",R498=""),"",O498*P498*(1-R498))</f>
        <v>6635.56</v>
      </c>
      <c r="Y498" s="3">
        <f>IF(OR(X498="",T498=""),"",X498-T498)</f>
        <v>2982.65</v>
      </c>
      <c r="Z498" s="4">
        <f>IFERROR(Y498/X498,"")</f>
        <v>0.4495</v>
      </c>
      <c r="AA498" s="1">
        <f>IF(OR(C498="",D498=""),"",D498-C498)</f>
        <v>2</v>
      </c>
      <c r="AB498" s="1">
        <f>IF(C498="","",MONTH(C498))</f>
        <v>7</v>
      </c>
      <c r="AC498" s="1">
        <f>IF(C498="","",YEAR(C498))</f>
        <v>2025</v>
      </c>
      <c r="AD498" s="1" t="s">
        <v>45</v>
      </c>
      <c r="AE498" s="1" t="s">
        <v>46</v>
      </c>
      <c r="AF498" s="1" t="s">
        <v>47</v>
      </c>
    </row>
    <row r="499" spans="1:32" s="15" customFormat="1" x14ac:dyDescent="0.25">
      <c r="A499" s="16">
        <v>499</v>
      </c>
      <c r="B499" s="16" t="s">
        <v>1652</v>
      </c>
      <c r="C499" s="17">
        <v>45532.77083333333</v>
      </c>
      <c r="D499" s="17">
        <v>45532.77083333333</v>
      </c>
      <c r="E499" s="16" t="s">
        <v>1653</v>
      </c>
      <c r="F499" s="16" t="s">
        <v>153</v>
      </c>
      <c r="G499" s="16" t="s">
        <v>51</v>
      </c>
      <c r="H499" s="16" t="s">
        <v>36</v>
      </c>
      <c r="I499" s="16" t="s">
        <v>157</v>
      </c>
      <c r="J499" s="16" t="s">
        <v>158</v>
      </c>
      <c r="K499" s="16" t="s">
        <v>93</v>
      </c>
      <c r="L499" s="16" t="s">
        <v>94</v>
      </c>
      <c r="M499" s="16" t="s">
        <v>1654</v>
      </c>
      <c r="N499" s="16" t="s">
        <v>42</v>
      </c>
      <c r="O499" s="16">
        <v>1</v>
      </c>
      <c r="P499" s="18">
        <v>3106.88</v>
      </c>
      <c r="Q499" s="19">
        <v>0.2</v>
      </c>
      <c r="R499" s="19">
        <v>0.2</v>
      </c>
      <c r="S499" s="18">
        <v>2485.5</v>
      </c>
      <c r="T499" s="18">
        <v>2028.43</v>
      </c>
      <c r="U499" s="18">
        <v>457.07</v>
      </c>
      <c r="V499" s="16" t="s">
        <v>43</v>
      </c>
      <c r="W499" s="16" t="s">
        <v>85</v>
      </c>
      <c r="X499" s="18">
        <f>IF(OR(O499="",P499="",R499=""),"",O499*P499*(1-R499))</f>
        <v>2485.5</v>
      </c>
      <c r="Y499" s="18">
        <f>IF(OR(X499="",T499=""),"",X499-T499)</f>
        <v>457.07</v>
      </c>
      <c r="Z499" s="19">
        <f>IFERROR(Y499/X499,"")</f>
        <v>0.1839</v>
      </c>
      <c r="AA499" s="16">
        <f>IF(OR(C499="",D499=""),"",D499-C499)</f>
        <v>0</v>
      </c>
      <c r="AB499" s="16">
        <f>IF(C499="","",MONTH(C499))</f>
        <v>8</v>
      </c>
      <c r="AC499" s="16">
        <f>IF(C499="","",YEAR(C499))</f>
        <v>2024</v>
      </c>
      <c r="AD499" s="16" t="s">
        <v>86</v>
      </c>
      <c r="AE499" s="16" t="s">
        <v>66</v>
      </c>
      <c r="AF499" s="16" t="s">
        <v>87</v>
      </c>
    </row>
    <row r="500" spans="1:32" s="15" customFormat="1" x14ac:dyDescent="0.25">
      <c r="A500" s="16">
        <v>500</v>
      </c>
      <c r="B500" s="16" t="s">
        <v>1655</v>
      </c>
      <c r="C500" s="17">
        <v>45906.77083333333</v>
      </c>
      <c r="D500" s="17">
        <v>45909.77083333333</v>
      </c>
      <c r="E500" s="16" t="s">
        <v>1656</v>
      </c>
      <c r="F500" s="16" t="s">
        <v>34</v>
      </c>
      <c r="G500" s="16" t="s">
        <v>35</v>
      </c>
      <c r="H500" s="16" t="s">
        <v>36</v>
      </c>
      <c r="I500" s="16" t="s">
        <v>143</v>
      </c>
      <c r="J500" s="16" t="s">
        <v>144</v>
      </c>
      <c r="K500" s="16" t="s">
        <v>55</v>
      </c>
      <c r="L500" s="16" t="s">
        <v>83</v>
      </c>
      <c r="M500" s="16" t="s">
        <v>1657</v>
      </c>
      <c r="N500" s="16" t="s">
        <v>58</v>
      </c>
      <c r="O500" s="16">
        <v>2</v>
      </c>
      <c r="P500" s="18">
        <v>447.55</v>
      </c>
      <c r="Q500" s="19">
        <v>0.05</v>
      </c>
      <c r="R500" s="19">
        <v>0.05</v>
      </c>
      <c r="S500" s="18">
        <v>850.35</v>
      </c>
      <c r="T500" s="18">
        <v>600.98</v>
      </c>
      <c r="U500" s="18">
        <v>249.37</v>
      </c>
      <c r="V500" s="16" t="s">
        <v>121</v>
      </c>
      <c r="W500" s="16" t="s">
        <v>85</v>
      </c>
      <c r="X500" s="18">
        <f>IF(OR(O500="",P500="",R500=""),"",O500*P500*(1-R500))</f>
        <v>850.35</v>
      </c>
      <c r="Y500" s="18">
        <f>IF(OR(X500="",T500=""),"",X500-T500)</f>
        <v>249.37</v>
      </c>
      <c r="Z500" s="19">
        <f>IFERROR(Y500/X500,"")</f>
        <v>0.2933</v>
      </c>
      <c r="AA500" s="16">
        <f>IF(OR(C500="",D500=""),"",D500-C500)</f>
        <v>3</v>
      </c>
      <c r="AB500" s="16">
        <f>IF(C500="","",MONTH(C500))</f>
        <v>9</v>
      </c>
      <c r="AC500" s="16">
        <f>IF(C500="","",YEAR(C500))</f>
        <v>2025</v>
      </c>
      <c r="AD500" s="16" t="s">
        <v>86</v>
      </c>
      <c r="AE500" s="16" t="s">
        <v>66</v>
      </c>
      <c r="AF500" s="16" t="s">
        <v>160</v>
      </c>
    </row>
    <row r="501" spans="1:32" s="10" customFormat="1" x14ac:dyDescent="0.25">
      <c r="A501" s="11">
        <v>501</v>
      </c>
      <c r="B501" s="11" t="s">
        <v>1658</v>
      </c>
      <c r="C501" s="12">
        <v>45647.77083333333</v>
      </c>
      <c r="D501" s="12">
        <v>45651.77083333333</v>
      </c>
      <c r="E501" s="11" t="s">
        <v>1659</v>
      </c>
      <c r="F501" s="11" t="s">
        <v>139</v>
      </c>
      <c r="G501" s="11" t="s">
        <v>114</v>
      </c>
      <c r="H501" s="11" t="s">
        <v>36</v>
      </c>
      <c r="I501" s="11" t="s">
        <v>157</v>
      </c>
      <c r="J501" s="11" t="s">
        <v>158</v>
      </c>
      <c r="K501" s="11" t="s">
        <v>55</v>
      </c>
      <c r="L501" s="11" t="s">
        <v>83</v>
      </c>
      <c r="M501" s="11" t="s">
        <v>1660</v>
      </c>
      <c r="N501" s="11" t="s">
        <v>76</v>
      </c>
      <c r="O501" s="11">
        <v>9</v>
      </c>
      <c r="P501" s="13">
        <v>1110.87</v>
      </c>
      <c r="Q501" s="14"/>
      <c r="R501" s="14">
        <v>0</v>
      </c>
      <c r="S501" s="13">
        <v>7498.37</v>
      </c>
      <c r="T501" s="13">
        <v>6059.07</v>
      </c>
      <c r="U501" s="13">
        <v>1439.3</v>
      </c>
      <c r="V501" s="11" t="s">
        <v>43</v>
      </c>
      <c r="W501" s="11" t="s">
        <v>85</v>
      </c>
      <c r="X501" s="13">
        <f>IF(OR(O501="",P501="",R501=""),"",O501*P501*(1-R501))</f>
        <v>9997.83</v>
      </c>
      <c r="Y501" s="13">
        <f>IF(OR(X501="",T501=""),"",X501-T501)</f>
        <v>3938.76</v>
      </c>
      <c r="Z501" s="14">
        <f>IFERROR(Y501/X501,"")</f>
        <v>0.394</v>
      </c>
      <c r="AA501" s="11">
        <f>IF(OR(C501="",D501=""),"",D501-C501)</f>
        <v>4</v>
      </c>
      <c r="AB501" s="11">
        <f>IF(C501="","",MONTH(C501))</f>
        <v>12</v>
      </c>
      <c r="AC501" s="11">
        <f>IF(C501="","",YEAR(C501))</f>
        <v>2024</v>
      </c>
      <c r="AD501" s="11" t="s">
        <v>65</v>
      </c>
      <c r="AE501" s="11" t="s">
        <v>66</v>
      </c>
      <c r="AF501" s="11" t="s">
        <v>468</v>
      </c>
    </row>
    <row r="502" spans="1:32" s="15" customFormat="1" x14ac:dyDescent="0.25">
      <c r="A502" s="16">
        <v>502</v>
      </c>
      <c r="B502" s="16" t="s">
        <v>1661</v>
      </c>
      <c r="C502" s="17">
        <v>45428.77083333333</v>
      </c>
      <c r="D502" s="17">
        <v>45433.77083333333</v>
      </c>
      <c r="E502" s="16" t="s">
        <v>1662</v>
      </c>
      <c r="F502" s="16" t="s">
        <v>153</v>
      </c>
      <c r="G502" s="16" t="s">
        <v>35</v>
      </c>
      <c r="H502" s="16" t="s">
        <v>71</v>
      </c>
      <c r="I502" s="16" t="s">
        <v>211</v>
      </c>
      <c r="J502" s="16" t="s">
        <v>212</v>
      </c>
      <c r="K502" s="16" t="s">
        <v>93</v>
      </c>
      <c r="L502" s="16" t="s">
        <v>196</v>
      </c>
      <c r="M502" s="16" t="s">
        <v>1663</v>
      </c>
      <c r="N502" s="16" t="s">
        <v>58</v>
      </c>
      <c r="O502" s="16">
        <v>9</v>
      </c>
      <c r="P502" s="18">
        <v>3795.99</v>
      </c>
      <c r="Q502" s="19"/>
      <c r="R502" s="19">
        <v>0</v>
      </c>
      <c r="S502" s="18">
        <v>34163.91</v>
      </c>
      <c r="T502" s="18">
        <v>28577.15</v>
      </c>
      <c r="U502" s="18">
        <v>5586.76</v>
      </c>
      <c r="V502" s="16" t="s">
        <v>43</v>
      </c>
      <c r="W502" s="16" t="s">
        <v>44</v>
      </c>
      <c r="X502" s="18">
        <f>IF(OR(O502="",P502="",R502=""),"",O502*P502*(1-R502))</f>
        <v>34163.91</v>
      </c>
      <c r="Y502" s="18">
        <f>IF(OR(X502="",T502=""),"",X502-T502)</f>
        <v>5586.76</v>
      </c>
      <c r="Z502" s="19">
        <f>IFERROR(Y502/X502,"")</f>
        <v>0.1635</v>
      </c>
      <c r="AA502" s="16">
        <f>IF(OR(C502="",D502=""),"",D502-C502)</f>
        <v>5</v>
      </c>
      <c r="AB502" s="16">
        <f>IF(C502="","",MONTH(C502))</f>
        <v>5</v>
      </c>
      <c r="AC502" s="16">
        <f>IF(C502="","",YEAR(C502))</f>
        <v>2024</v>
      </c>
      <c r="AD502" s="16" t="s">
        <v>86</v>
      </c>
      <c r="AE502" s="16" t="s">
        <v>46</v>
      </c>
      <c r="AF502" s="16" t="s">
        <v>813</v>
      </c>
    </row>
    <row r="503" spans="1:32" x14ac:dyDescent="0.25">
      <c r="A503" s="1">
        <v>503</v>
      </c>
      <c r="B503" s="1" t="s">
        <v>1664</v>
      </c>
      <c r="C503" s="2">
        <v>45514.77083333333</v>
      </c>
      <c r="D503" s="2">
        <v>45520.77083333333</v>
      </c>
      <c r="E503" s="1" t="s">
        <v>855</v>
      </c>
      <c r="F503" s="1" t="s">
        <v>98</v>
      </c>
      <c r="G503" s="1" t="s">
        <v>35</v>
      </c>
      <c r="H503" s="1" t="s">
        <v>52</v>
      </c>
      <c r="I503" s="1" t="s">
        <v>258</v>
      </c>
      <c r="J503" s="1" t="s">
        <v>259</v>
      </c>
      <c r="K503" s="1" t="s">
        <v>39</v>
      </c>
      <c r="L503" s="1" t="s">
        <v>62</v>
      </c>
      <c r="M503" s="1" t="s">
        <v>1665</v>
      </c>
      <c r="N503" s="1" t="s">
        <v>42</v>
      </c>
      <c r="O503" s="1">
        <v>6</v>
      </c>
      <c r="P503" s="3">
        <v>3497.54</v>
      </c>
      <c r="Q503" s="4">
        <v>0.15</v>
      </c>
      <c r="R503" s="4">
        <v>0.15</v>
      </c>
      <c r="S503" s="3">
        <v>17837.45</v>
      </c>
      <c r="T503" s="3">
        <v>13627.02</v>
      </c>
      <c r="U503" s="3">
        <v>4210.43</v>
      </c>
      <c r="V503" s="1" t="s">
        <v>43</v>
      </c>
      <c r="W503" s="1" t="s">
        <v>44</v>
      </c>
      <c r="X503" s="3">
        <f>IF(OR(O503="",P503="",R503=""),"",O503*P503*(1-R503))</f>
        <v>17837.45</v>
      </c>
      <c r="Y503" s="3">
        <f>IF(OR(X503="",T503=""),"",X503-T503)</f>
        <v>4210.43</v>
      </c>
      <c r="Z503" s="4">
        <f>IFERROR(Y503/X503,"")</f>
        <v>0.236</v>
      </c>
      <c r="AA503" s="1">
        <f>IF(OR(C503="",D503=""),"",D503-C503)</f>
        <v>6</v>
      </c>
      <c r="AB503" s="1">
        <f>IF(C503="","",MONTH(C503))</f>
        <v>8</v>
      </c>
      <c r="AC503" s="1">
        <f>IF(C503="","",YEAR(C503))</f>
        <v>2024</v>
      </c>
      <c r="AD503" s="1" t="s">
        <v>45</v>
      </c>
      <c r="AE503" s="1" t="s">
        <v>46</v>
      </c>
      <c r="AF503" s="1" t="s">
        <v>47</v>
      </c>
    </row>
    <row r="504" spans="1:32" x14ac:dyDescent="0.25">
      <c r="A504" s="1">
        <v>504</v>
      </c>
      <c r="B504" s="1" t="s">
        <v>1666</v>
      </c>
      <c r="C504" s="2">
        <v>45382.77083333333</v>
      </c>
      <c r="D504" s="2">
        <v>45390.77083333333</v>
      </c>
      <c r="E504" s="1" t="s">
        <v>1667</v>
      </c>
      <c r="F504" s="1" t="s">
        <v>135</v>
      </c>
      <c r="G504" s="1" t="s">
        <v>51</v>
      </c>
      <c r="H504" s="1" t="s">
        <v>52</v>
      </c>
      <c r="I504" s="1" t="s">
        <v>53</v>
      </c>
      <c r="J504" s="1" t="s">
        <v>54</v>
      </c>
      <c r="K504" s="1" t="s">
        <v>93</v>
      </c>
      <c r="L504" s="1" t="s">
        <v>99</v>
      </c>
      <c r="M504" s="1" t="s">
        <v>1668</v>
      </c>
      <c r="N504" s="1" t="s">
        <v>42</v>
      </c>
      <c r="O504" s="1">
        <v>6</v>
      </c>
      <c r="P504" s="3">
        <v>826.93</v>
      </c>
      <c r="Q504" s="4">
        <v>0.1</v>
      </c>
      <c r="R504" s="4">
        <v>0.1</v>
      </c>
      <c r="S504" s="3">
        <v>4465.42</v>
      </c>
      <c r="T504" s="3">
        <v>3377.1</v>
      </c>
      <c r="U504" s="3">
        <v>1088.32</v>
      </c>
      <c r="V504" s="1" t="s">
        <v>43</v>
      </c>
      <c r="W504" s="1" t="s">
        <v>44</v>
      </c>
      <c r="X504" s="3">
        <f>IF(OR(O504="",P504="",R504=""),"",O504*P504*(1-R504))</f>
        <v>4465.42</v>
      </c>
      <c r="Y504" s="3">
        <f>IF(OR(X504="",T504=""),"",X504-T504)</f>
        <v>1088.32</v>
      </c>
      <c r="Z504" s="4">
        <f>IFERROR(Y504/X504,"")</f>
        <v>0.2437</v>
      </c>
      <c r="AA504" s="1">
        <f>IF(OR(C504="",D504=""),"",D504-C504)</f>
        <v>8</v>
      </c>
      <c r="AB504" s="1">
        <f>IF(C504="","",MONTH(C504))</f>
        <v>4</v>
      </c>
      <c r="AC504" s="1">
        <f>IF(C504="","",YEAR(C504))</f>
        <v>2024</v>
      </c>
      <c r="AD504" s="1" t="s">
        <v>45</v>
      </c>
      <c r="AE504" s="1" t="s">
        <v>46</v>
      </c>
      <c r="AF504" s="1" t="s">
        <v>47</v>
      </c>
    </row>
    <row r="505" spans="1:32" x14ac:dyDescent="0.25">
      <c r="A505" s="1">
        <v>505</v>
      </c>
      <c r="B505" s="1" t="s">
        <v>1669</v>
      </c>
      <c r="C505" s="2">
        <v>45562.77083333333</v>
      </c>
      <c r="D505" s="2">
        <v>45569.77083333333</v>
      </c>
      <c r="E505" s="1" t="s">
        <v>1670</v>
      </c>
      <c r="F505" s="1" t="s">
        <v>149</v>
      </c>
      <c r="G505" s="1" t="s">
        <v>35</v>
      </c>
      <c r="H505" s="1" t="s">
        <v>71</v>
      </c>
      <c r="I505" s="1" t="s">
        <v>277</v>
      </c>
      <c r="J505" s="1" t="s">
        <v>278</v>
      </c>
      <c r="K505" s="1" t="s">
        <v>93</v>
      </c>
      <c r="L505" s="1" t="s">
        <v>196</v>
      </c>
      <c r="M505" s="1" t="s">
        <v>1671</v>
      </c>
      <c r="N505" s="1" t="s">
        <v>76</v>
      </c>
      <c r="O505" s="1">
        <v>7</v>
      </c>
      <c r="P505" s="3">
        <v>1681.6</v>
      </c>
      <c r="Q505" s="4">
        <v>0.1</v>
      </c>
      <c r="R505" s="4">
        <v>0.1</v>
      </c>
      <c r="S505" s="3">
        <v>10594.08</v>
      </c>
      <c r="T505" s="3">
        <v>7160.31</v>
      </c>
      <c r="U505" s="3">
        <v>3433.77</v>
      </c>
      <c r="V505" s="1" t="s">
        <v>43</v>
      </c>
      <c r="W505" s="1" t="s">
        <v>44</v>
      </c>
      <c r="X505" s="3">
        <f>IF(OR(O505="",P505="",R505=""),"",O505*P505*(1-R505))</f>
        <v>10594.08</v>
      </c>
      <c r="Y505" s="3">
        <f>IF(OR(X505="",T505=""),"",X505-T505)</f>
        <v>3433.77</v>
      </c>
      <c r="Z505" s="4">
        <f>IFERROR(Y505/X505,"")</f>
        <v>0.3241</v>
      </c>
      <c r="AA505" s="1">
        <f>IF(OR(C505="",D505=""),"",D505-C505)</f>
        <v>7</v>
      </c>
      <c r="AB505" s="1">
        <f>IF(C505="","",MONTH(C505))</f>
        <v>9</v>
      </c>
      <c r="AC505" s="1">
        <f>IF(C505="","",YEAR(C505))</f>
        <v>2024</v>
      </c>
      <c r="AD505" s="1" t="s">
        <v>45</v>
      </c>
      <c r="AE505" s="1" t="s">
        <v>46</v>
      </c>
      <c r="AF505" s="1" t="s">
        <v>47</v>
      </c>
    </row>
    <row r="506" spans="1:32" x14ac:dyDescent="0.25">
      <c r="A506" s="1">
        <v>506</v>
      </c>
      <c r="B506" s="1" t="s">
        <v>1672</v>
      </c>
      <c r="C506" s="2">
        <v>45699.77083333333</v>
      </c>
      <c r="D506" s="2">
        <v>45704.77083333333</v>
      </c>
      <c r="E506" s="1" t="s">
        <v>1673</v>
      </c>
      <c r="F506" s="1" t="s">
        <v>70</v>
      </c>
      <c r="G506" s="1" t="s">
        <v>109</v>
      </c>
      <c r="H506" s="1" t="s">
        <v>80</v>
      </c>
      <c r="I506" s="1" t="s">
        <v>206</v>
      </c>
      <c r="J506" s="1" t="s">
        <v>207</v>
      </c>
      <c r="K506" s="1" t="s">
        <v>39</v>
      </c>
      <c r="L506" s="1" t="s">
        <v>62</v>
      </c>
      <c r="M506" s="1" t="s">
        <v>1674</v>
      </c>
      <c r="N506" s="1" t="s">
        <v>76</v>
      </c>
      <c r="O506" s="1">
        <v>4</v>
      </c>
      <c r="P506" s="3">
        <v>4328.12</v>
      </c>
      <c r="Q506" s="4">
        <v>0</v>
      </c>
      <c r="R506" s="4">
        <v>0</v>
      </c>
      <c r="S506" s="3">
        <v>17312.48</v>
      </c>
      <c r="T506" s="3">
        <v>14424.22</v>
      </c>
      <c r="U506" s="3">
        <v>2888.26</v>
      </c>
      <c r="V506" s="1" t="s">
        <v>43</v>
      </c>
      <c r="W506" s="1" t="s">
        <v>44</v>
      </c>
      <c r="X506" s="3">
        <f>IF(OR(O506="",P506="",R506=""),"",O506*P506*(1-R506))</f>
        <v>17312.48</v>
      </c>
      <c r="Y506" s="3">
        <f>IF(OR(X506="",T506=""),"",X506-T506)</f>
        <v>2888.26</v>
      </c>
      <c r="Z506" s="4">
        <f>IFERROR(Y506/X506,"")</f>
        <v>0.1668</v>
      </c>
      <c r="AA506" s="1">
        <f>IF(OR(C506="",D506=""),"",D506-C506)</f>
        <v>5</v>
      </c>
      <c r="AB506" s="1">
        <f>IF(C506="","",MONTH(C506))</f>
        <v>2</v>
      </c>
      <c r="AC506" s="1">
        <f>IF(C506="","",YEAR(C506))</f>
        <v>2025</v>
      </c>
      <c r="AD506" s="1" t="s">
        <v>45</v>
      </c>
      <c r="AE506" s="1" t="s">
        <v>46</v>
      </c>
      <c r="AF506" s="1" t="s">
        <v>47</v>
      </c>
    </row>
    <row r="507" spans="1:32" s="15" customFormat="1" x14ac:dyDescent="0.25">
      <c r="A507" s="16">
        <v>507</v>
      </c>
      <c r="B507" s="16" t="s">
        <v>1675</v>
      </c>
      <c r="C507" s="17">
        <v>45604.77083333333</v>
      </c>
      <c r="D507" s="17">
        <v>45609.77083333333</v>
      </c>
      <c r="E507" s="16" t="s">
        <v>1676</v>
      </c>
      <c r="F507" s="16" t="s">
        <v>98</v>
      </c>
      <c r="G507" s="16" t="s">
        <v>109</v>
      </c>
      <c r="H507" s="16" t="s">
        <v>80</v>
      </c>
      <c r="I507" s="16" t="s">
        <v>91</v>
      </c>
      <c r="J507" s="16" t="s">
        <v>92</v>
      </c>
      <c r="K507" s="16" t="s">
        <v>39</v>
      </c>
      <c r="L507" s="16" t="s">
        <v>62</v>
      </c>
      <c r="M507" s="16" t="s">
        <v>1677</v>
      </c>
      <c r="N507" s="16" t="s">
        <v>64</v>
      </c>
      <c r="O507" s="16">
        <v>9</v>
      </c>
      <c r="P507" s="18">
        <v>2438.29</v>
      </c>
      <c r="Q507" s="19">
        <v>0.2</v>
      </c>
      <c r="R507" s="19">
        <v>0.2</v>
      </c>
      <c r="S507" s="18">
        <v>17555.69</v>
      </c>
      <c r="T507" s="18">
        <v>13293.2</v>
      </c>
      <c r="U507" s="18">
        <v>4262.49</v>
      </c>
      <c r="V507" s="16" t="s">
        <v>43</v>
      </c>
      <c r="W507" s="16" t="s">
        <v>85</v>
      </c>
      <c r="X507" s="18">
        <f>IF(OR(O507="",P507="",R507=""),"",O507*P507*(1-R507))</f>
        <v>17555.69</v>
      </c>
      <c r="Y507" s="18">
        <f>IF(OR(X507="",T507=""),"",X507-T507)</f>
        <v>4262.49</v>
      </c>
      <c r="Z507" s="19">
        <f>IFERROR(Y507/X507,"")</f>
        <v>0.2428</v>
      </c>
      <c r="AA507" s="16">
        <f>IF(OR(C507="",D507=""),"",D507-C507)</f>
        <v>5</v>
      </c>
      <c r="AB507" s="16">
        <f>IF(C507="","",MONTH(C507))</f>
        <v>11</v>
      </c>
      <c r="AC507" s="16">
        <f>IF(C507="","",YEAR(C507))</f>
        <v>2024</v>
      </c>
      <c r="AD507" s="16" t="s">
        <v>86</v>
      </c>
      <c r="AE507" s="16" t="s">
        <v>66</v>
      </c>
      <c r="AF507" s="16" t="s">
        <v>87</v>
      </c>
    </row>
    <row r="508" spans="1:32" s="15" customFormat="1" x14ac:dyDescent="0.25">
      <c r="A508" s="16">
        <v>508</v>
      </c>
      <c r="B508" s="16" t="s">
        <v>1678</v>
      </c>
      <c r="C508" s="17">
        <v>45640.77083333333</v>
      </c>
      <c r="D508" s="17">
        <v>45640.77083333333</v>
      </c>
      <c r="E508" s="16" t="s">
        <v>1679</v>
      </c>
      <c r="F508" s="16" t="s">
        <v>149</v>
      </c>
      <c r="G508" s="16" t="s">
        <v>51</v>
      </c>
      <c r="H508" s="16" t="s">
        <v>36</v>
      </c>
      <c r="I508" s="16" t="s">
        <v>143</v>
      </c>
      <c r="J508" s="16" t="s">
        <v>144</v>
      </c>
      <c r="K508" s="16" t="s">
        <v>55</v>
      </c>
      <c r="L508" s="16" t="s">
        <v>74</v>
      </c>
      <c r="M508" s="16" t="s">
        <v>1680</v>
      </c>
      <c r="N508" s="16" t="s">
        <v>64</v>
      </c>
      <c r="O508" s="16">
        <v>2</v>
      </c>
      <c r="P508" s="18">
        <v>669.8</v>
      </c>
      <c r="Q508" s="19">
        <v>0.1</v>
      </c>
      <c r="R508" s="19">
        <v>0.1</v>
      </c>
      <c r="S508" s="18">
        <v>1205.64</v>
      </c>
      <c r="T508" s="18">
        <v>842.07</v>
      </c>
      <c r="U508" s="18">
        <v>363.57</v>
      </c>
      <c r="V508" s="16" t="s">
        <v>121</v>
      </c>
      <c r="W508" s="16" t="s">
        <v>122</v>
      </c>
      <c r="X508" s="18">
        <f>IF(OR(O508="",P508="",R508=""),"",O508*P508*(1-R508))</f>
        <v>1205.64</v>
      </c>
      <c r="Y508" s="18">
        <f>IF(OR(X508="",T508=""),"",X508-T508)</f>
        <v>363.57</v>
      </c>
      <c r="Z508" s="19">
        <f>IFERROR(Y508/X508,"")</f>
        <v>0.3016</v>
      </c>
      <c r="AA508" s="16">
        <f>IF(OR(C508="",D508=""),"",D508-C508)</f>
        <v>0</v>
      </c>
      <c r="AB508" s="16">
        <f>IF(C508="","",MONTH(C508))</f>
        <v>12</v>
      </c>
      <c r="AC508" s="16">
        <f>IF(C508="","",YEAR(C508))</f>
        <v>2024</v>
      </c>
      <c r="AD508" s="16" t="s">
        <v>86</v>
      </c>
      <c r="AE508" s="16" t="s">
        <v>66</v>
      </c>
      <c r="AF508" s="16" t="s">
        <v>123</v>
      </c>
    </row>
    <row r="509" spans="1:32" x14ac:dyDescent="0.25">
      <c r="A509" s="1">
        <v>509</v>
      </c>
      <c r="B509" s="1" t="s">
        <v>1681</v>
      </c>
      <c r="C509" s="2">
        <v>45761.77083333333</v>
      </c>
      <c r="D509" s="2">
        <v>45768.77083333333</v>
      </c>
      <c r="E509" s="1" t="s">
        <v>1682</v>
      </c>
      <c r="F509" s="1" t="s">
        <v>61</v>
      </c>
      <c r="G509" s="1" t="s">
        <v>51</v>
      </c>
      <c r="H509" s="1" t="s">
        <v>36</v>
      </c>
      <c r="I509" s="1" t="s">
        <v>266</v>
      </c>
      <c r="J509" s="1" t="s">
        <v>267</v>
      </c>
      <c r="K509" s="1" t="s">
        <v>39</v>
      </c>
      <c r="L509" s="1" t="s">
        <v>176</v>
      </c>
      <c r="M509" s="1" t="s">
        <v>1683</v>
      </c>
      <c r="N509" s="1" t="s">
        <v>58</v>
      </c>
      <c r="O509" s="1">
        <v>4</v>
      </c>
      <c r="P509" s="3">
        <v>2990.42</v>
      </c>
      <c r="Q509" s="4">
        <v>0.25</v>
      </c>
      <c r="R509" s="4">
        <v>0.25</v>
      </c>
      <c r="S509" s="3">
        <v>8971.26</v>
      </c>
      <c r="T509" s="3">
        <v>6814.35</v>
      </c>
      <c r="U509" s="3">
        <v>2156.91</v>
      </c>
      <c r="V509" s="1" t="s">
        <v>43</v>
      </c>
      <c r="W509" s="1" t="s">
        <v>44</v>
      </c>
      <c r="X509" s="3">
        <f>IF(OR(O509="",P509="",R509=""),"",O509*P509*(1-R509))</f>
        <v>8971.26</v>
      </c>
      <c r="Y509" s="3">
        <f>IF(OR(X509="",T509=""),"",X509-T509)</f>
        <v>2156.91</v>
      </c>
      <c r="Z509" s="4">
        <f>IFERROR(Y509/X509,"")</f>
        <v>0.2404</v>
      </c>
      <c r="AA509" s="1">
        <f>IF(OR(C509="",D509=""),"",D509-C509)</f>
        <v>7</v>
      </c>
      <c r="AB509" s="1">
        <f>IF(C509="","",MONTH(C509))</f>
        <v>4</v>
      </c>
      <c r="AC509" s="1">
        <f>IF(C509="","",YEAR(C509))</f>
        <v>2025</v>
      </c>
      <c r="AD509" s="1" t="s">
        <v>45</v>
      </c>
      <c r="AE509" s="1" t="s">
        <v>46</v>
      </c>
      <c r="AF509" s="1" t="s">
        <v>47</v>
      </c>
    </row>
    <row r="510" spans="1:32" x14ac:dyDescent="0.25">
      <c r="A510" s="1">
        <v>510</v>
      </c>
      <c r="B510" s="1" t="s">
        <v>1684</v>
      </c>
      <c r="C510" s="2">
        <v>45381.77083333333</v>
      </c>
      <c r="D510" s="2">
        <v>45388.77083333333</v>
      </c>
      <c r="E510" s="1" t="s">
        <v>1685</v>
      </c>
      <c r="F510" s="1" t="s">
        <v>61</v>
      </c>
      <c r="G510" s="1" t="s">
        <v>51</v>
      </c>
      <c r="H510" s="1" t="s">
        <v>36</v>
      </c>
      <c r="I510" s="1" t="s">
        <v>266</v>
      </c>
      <c r="J510" s="1" t="s">
        <v>267</v>
      </c>
      <c r="K510" s="1" t="s">
        <v>93</v>
      </c>
      <c r="L510" s="1" t="s">
        <v>305</v>
      </c>
      <c r="M510" s="1" t="s">
        <v>1686</v>
      </c>
      <c r="N510" s="1" t="s">
        <v>42</v>
      </c>
      <c r="O510" s="1">
        <v>4</v>
      </c>
      <c r="P510" s="3">
        <v>1831</v>
      </c>
      <c r="Q510" s="4">
        <v>0</v>
      </c>
      <c r="R510" s="4">
        <v>0</v>
      </c>
      <c r="S510" s="3">
        <v>7324</v>
      </c>
      <c r="T510" s="3">
        <v>4179.63</v>
      </c>
      <c r="U510" s="3">
        <v>3144.37</v>
      </c>
      <c r="V510" s="1" t="s">
        <v>43</v>
      </c>
      <c r="W510" s="1" t="s">
        <v>44</v>
      </c>
      <c r="X510" s="3">
        <f>IF(OR(O510="",P510="",R510=""),"",O510*P510*(1-R510))</f>
        <v>7324</v>
      </c>
      <c r="Y510" s="3">
        <f>IF(OR(X510="",T510=""),"",X510-T510)</f>
        <v>3144.37</v>
      </c>
      <c r="Z510" s="4">
        <f>IFERROR(Y510/X510,"")</f>
        <v>0.4293</v>
      </c>
      <c r="AA510" s="1">
        <f>IF(OR(C510="",D510=""),"",D510-C510)</f>
        <v>7</v>
      </c>
      <c r="AB510" s="1">
        <f>IF(C510="","",MONTH(C510))</f>
        <v>3</v>
      </c>
      <c r="AC510" s="1">
        <f>IF(C510="","",YEAR(C510))</f>
        <v>2024</v>
      </c>
      <c r="AD510" s="1" t="s">
        <v>45</v>
      </c>
      <c r="AE510" s="1" t="s">
        <v>46</v>
      </c>
      <c r="AF510" s="1" t="s">
        <v>47</v>
      </c>
    </row>
    <row r="511" spans="1:32" x14ac:dyDescent="0.25">
      <c r="A511" s="1">
        <v>511</v>
      </c>
      <c r="B511" s="1" t="s">
        <v>1687</v>
      </c>
      <c r="C511" s="2">
        <v>45788.77083333333</v>
      </c>
      <c r="D511" s="2">
        <v>45790.77083333333</v>
      </c>
      <c r="E511" s="1" t="s">
        <v>1688</v>
      </c>
      <c r="F511" s="1" t="s">
        <v>98</v>
      </c>
      <c r="G511" s="1" t="s">
        <v>35</v>
      </c>
      <c r="H511" s="1" t="s">
        <v>80</v>
      </c>
      <c r="I511" s="1" t="s">
        <v>206</v>
      </c>
      <c r="J511" s="1" t="s">
        <v>207</v>
      </c>
      <c r="K511" s="1" t="s">
        <v>93</v>
      </c>
      <c r="L511" s="1" t="s">
        <v>305</v>
      </c>
      <c r="M511" s="1" t="s">
        <v>1689</v>
      </c>
      <c r="N511" s="1" t="s">
        <v>58</v>
      </c>
      <c r="O511" s="1">
        <v>8</v>
      </c>
      <c r="P511" s="3">
        <v>3631.44</v>
      </c>
      <c r="Q511" s="4">
        <v>0.2</v>
      </c>
      <c r="R511" s="4">
        <v>0.2</v>
      </c>
      <c r="S511" s="3">
        <v>23241.22</v>
      </c>
      <c r="T511" s="3">
        <v>17220.9</v>
      </c>
      <c r="U511" s="3">
        <v>6020.32</v>
      </c>
      <c r="V511" s="1" t="s">
        <v>43</v>
      </c>
      <c r="W511" s="1" t="s">
        <v>44</v>
      </c>
      <c r="X511" s="3">
        <f>IF(OR(O511="",P511="",R511=""),"",O511*P511*(1-R511))</f>
        <v>23241.22</v>
      </c>
      <c r="Y511" s="3">
        <f>IF(OR(X511="",T511=""),"",X511-T511)</f>
        <v>6020.32</v>
      </c>
      <c r="Z511" s="4">
        <f>IFERROR(Y511/X511,"")</f>
        <v>0.259</v>
      </c>
      <c r="AA511" s="1">
        <f>IF(OR(C511="",D511=""),"",D511-C511)</f>
        <v>2</v>
      </c>
      <c r="AB511" s="1">
        <f>IF(C511="","",MONTH(C511))</f>
        <v>5</v>
      </c>
      <c r="AC511" s="1">
        <f>IF(C511="","",YEAR(C511))</f>
        <v>2025</v>
      </c>
      <c r="AD511" s="1" t="s">
        <v>45</v>
      </c>
      <c r="AE511" s="1" t="s">
        <v>46</v>
      </c>
      <c r="AF511" s="1" t="s">
        <v>47</v>
      </c>
    </row>
    <row r="512" spans="1:32" x14ac:dyDescent="0.25">
      <c r="A512" s="1">
        <v>512</v>
      </c>
      <c r="B512" s="1" t="s">
        <v>1690</v>
      </c>
      <c r="C512" s="2">
        <v>45582.77083333333</v>
      </c>
      <c r="D512" s="2">
        <v>45585.77083333333</v>
      </c>
      <c r="E512" s="1" t="s">
        <v>1691</v>
      </c>
      <c r="F512" s="1" t="s">
        <v>149</v>
      </c>
      <c r="G512" s="1" t="s">
        <v>35</v>
      </c>
      <c r="H512" s="1" t="s">
        <v>71</v>
      </c>
      <c r="I512" s="1" t="s">
        <v>201</v>
      </c>
      <c r="J512" s="1" t="s">
        <v>202</v>
      </c>
      <c r="K512" s="1" t="s">
        <v>39</v>
      </c>
      <c r="L512" s="1" t="s">
        <v>145</v>
      </c>
      <c r="M512" s="1" t="s">
        <v>1692</v>
      </c>
      <c r="N512" s="1" t="s">
        <v>42</v>
      </c>
      <c r="O512" s="1">
        <v>2</v>
      </c>
      <c r="P512" s="3">
        <v>4238.51</v>
      </c>
      <c r="Q512" s="4">
        <v>0</v>
      </c>
      <c r="R512" s="4">
        <v>0</v>
      </c>
      <c r="S512" s="3">
        <v>8477.02</v>
      </c>
      <c r="T512" s="3">
        <v>6884.96</v>
      </c>
      <c r="U512" s="3">
        <v>1592.06</v>
      </c>
      <c r="V512" s="1" t="s">
        <v>43</v>
      </c>
      <c r="W512" s="1" t="s">
        <v>44</v>
      </c>
      <c r="X512" s="3">
        <f>IF(OR(O512="",P512="",R512=""),"",O512*P512*(1-R512))</f>
        <v>8477.02</v>
      </c>
      <c r="Y512" s="3">
        <f>IF(OR(X512="",T512=""),"",X512-T512)</f>
        <v>1592.06</v>
      </c>
      <c r="Z512" s="4">
        <f>IFERROR(Y512/X512,"")</f>
        <v>0.1878</v>
      </c>
      <c r="AA512" s="1">
        <f>IF(OR(C512="",D512=""),"",D512-C512)</f>
        <v>3</v>
      </c>
      <c r="AB512" s="1">
        <f>IF(C512="","",MONTH(C512))</f>
        <v>10</v>
      </c>
      <c r="AC512" s="1">
        <f>IF(C512="","",YEAR(C512))</f>
        <v>2024</v>
      </c>
      <c r="AD512" s="1" t="s">
        <v>45</v>
      </c>
      <c r="AE512" s="1" t="s">
        <v>46</v>
      </c>
      <c r="AF512" s="1" t="s">
        <v>47</v>
      </c>
    </row>
    <row r="513" spans="1:32" x14ac:dyDescent="0.25">
      <c r="A513" s="1">
        <v>513</v>
      </c>
      <c r="B513" s="1" t="s">
        <v>1693</v>
      </c>
      <c r="C513" s="2">
        <v>45587.77083333333</v>
      </c>
      <c r="D513" s="2">
        <v>45590.77083333333</v>
      </c>
      <c r="E513" s="1" t="s">
        <v>1694</v>
      </c>
      <c r="F513" s="1" t="s">
        <v>153</v>
      </c>
      <c r="G513" s="1" t="s">
        <v>35</v>
      </c>
      <c r="H513" s="1" t="s">
        <v>80</v>
      </c>
      <c r="I513" s="1" t="s">
        <v>91</v>
      </c>
      <c r="J513" s="1" t="s">
        <v>92</v>
      </c>
      <c r="K513" s="1" t="s">
        <v>55</v>
      </c>
      <c r="L513" s="1" t="s">
        <v>182</v>
      </c>
      <c r="M513" s="1" t="s">
        <v>1695</v>
      </c>
      <c r="N513" s="1" t="s">
        <v>76</v>
      </c>
      <c r="O513" s="1">
        <v>9</v>
      </c>
      <c r="P513" s="3">
        <v>544.27</v>
      </c>
      <c r="Q513" s="4">
        <v>0.25</v>
      </c>
      <c r="R513" s="4">
        <v>0.25</v>
      </c>
      <c r="S513" s="3">
        <v>3673.82</v>
      </c>
      <c r="T513" s="3">
        <v>2088.15</v>
      </c>
      <c r="U513" s="3">
        <v>1585.67</v>
      </c>
      <c r="V513" s="1" t="s">
        <v>43</v>
      </c>
      <c r="W513" s="1" t="s">
        <v>44</v>
      </c>
      <c r="X513" s="3">
        <f>IF(OR(O513="",P513="",R513=""),"",O513*P513*(1-R513))</f>
        <v>3673.82</v>
      </c>
      <c r="Y513" s="3">
        <f>IF(OR(X513="",T513=""),"",X513-T513)</f>
        <v>1585.67</v>
      </c>
      <c r="Z513" s="4">
        <f>IFERROR(Y513/X513,"")</f>
        <v>0.4316</v>
      </c>
      <c r="AA513" s="1">
        <f>IF(OR(C513="",D513=""),"",D513-C513)</f>
        <v>3</v>
      </c>
      <c r="AB513" s="1">
        <f>IF(C513="","",MONTH(C513))</f>
        <v>10</v>
      </c>
      <c r="AC513" s="1">
        <f>IF(C513="","",YEAR(C513))</f>
        <v>2024</v>
      </c>
      <c r="AD513" s="1" t="s">
        <v>45</v>
      </c>
      <c r="AE513" s="1" t="s">
        <v>46</v>
      </c>
      <c r="AF513" s="1" t="s">
        <v>47</v>
      </c>
    </row>
    <row r="514" spans="1:32" x14ac:dyDescent="0.25">
      <c r="A514" s="1">
        <v>514</v>
      </c>
      <c r="B514" s="1" t="s">
        <v>1696</v>
      </c>
      <c r="C514" s="2">
        <v>45717.77083333333</v>
      </c>
      <c r="D514" s="2">
        <v>45718.77083333333</v>
      </c>
      <c r="E514" s="1" t="s">
        <v>1305</v>
      </c>
      <c r="F514" s="1" t="s">
        <v>61</v>
      </c>
      <c r="G514" s="1" t="s">
        <v>109</v>
      </c>
      <c r="H514" s="1" t="s">
        <v>71</v>
      </c>
      <c r="I514" s="1" t="s">
        <v>211</v>
      </c>
      <c r="J514" s="1" t="s">
        <v>212</v>
      </c>
      <c r="K514" s="1" t="s">
        <v>39</v>
      </c>
      <c r="L514" s="1" t="s">
        <v>110</v>
      </c>
      <c r="M514" s="1" t="s">
        <v>1697</v>
      </c>
      <c r="N514" s="1" t="s">
        <v>42</v>
      </c>
      <c r="O514" s="1">
        <v>2</v>
      </c>
      <c r="P514" s="3">
        <v>4031.45</v>
      </c>
      <c r="Q514" s="4">
        <v>0.25</v>
      </c>
      <c r="R514" s="4">
        <v>0.25</v>
      </c>
      <c r="S514" s="3">
        <v>6047.17</v>
      </c>
      <c r="T514" s="3">
        <v>3368.79</v>
      </c>
      <c r="U514" s="3">
        <v>2678.38</v>
      </c>
      <c r="V514" s="1" t="s">
        <v>43</v>
      </c>
      <c r="W514" s="1" t="s">
        <v>44</v>
      </c>
      <c r="X514" s="3">
        <f>IF(OR(O514="",P514="",R514=""),"",O514*P514*(1-R514))</f>
        <v>6047.17</v>
      </c>
      <c r="Y514" s="3">
        <f>IF(OR(X514="",T514=""),"",X514-T514)</f>
        <v>2678.38</v>
      </c>
      <c r="Z514" s="4">
        <f>IFERROR(Y514/X514,"")</f>
        <v>0.4429</v>
      </c>
      <c r="AA514" s="1">
        <f>IF(OR(C514="",D514=""),"",D514-C514)</f>
        <v>1</v>
      </c>
      <c r="AB514" s="1">
        <f>IF(C514="","",MONTH(C514))</f>
        <v>3</v>
      </c>
      <c r="AC514" s="1">
        <f>IF(C514="","",YEAR(C514))</f>
        <v>2025</v>
      </c>
      <c r="AD514" s="1" t="s">
        <v>45</v>
      </c>
      <c r="AE514" s="1" t="s">
        <v>46</v>
      </c>
      <c r="AF514" s="1" t="s">
        <v>47</v>
      </c>
    </row>
    <row r="515" spans="1:32" s="10" customFormat="1" x14ac:dyDescent="0.25">
      <c r="A515" s="11">
        <v>515</v>
      </c>
      <c r="B515" s="11" t="s">
        <v>1698</v>
      </c>
      <c r="C515" s="12">
        <v>45834.77083333333</v>
      </c>
      <c r="D515" s="12">
        <v>45839.77083333333</v>
      </c>
      <c r="E515" s="11" t="s">
        <v>1699</v>
      </c>
      <c r="F515" s="11" t="s">
        <v>149</v>
      </c>
      <c r="G515" s="11" t="s">
        <v>109</v>
      </c>
      <c r="H515" s="11" t="s">
        <v>71</v>
      </c>
      <c r="I515" s="11" t="s">
        <v>211</v>
      </c>
      <c r="J515" s="11" t="s">
        <v>212</v>
      </c>
      <c r="K515" s="11" t="s">
        <v>93</v>
      </c>
      <c r="L515" s="11" t="s">
        <v>94</v>
      </c>
      <c r="M515" s="11" t="s">
        <v>1700</v>
      </c>
      <c r="N515" s="11" t="s">
        <v>64</v>
      </c>
      <c r="O515" s="11">
        <v>6</v>
      </c>
      <c r="P515" s="13">
        <v>1099.49</v>
      </c>
      <c r="Q515" s="14">
        <v>0.1</v>
      </c>
      <c r="R515" s="14">
        <v>0.1</v>
      </c>
      <c r="S515" s="13">
        <v>6212.38</v>
      </c>
      <c r="T515" s="13">
        <v>4088.46</v>
      </c>
      <c r="U515" s="13">
        <v>1848.79</v>
      </c>
      <c r="V515" s="11" t="s">
        <v>43</v>
      </c>
      <c r="W515" s="11" t="s">
        <v>44</v>
      </c>
      <c r="X515" s="13">
        <f>IF(OR(O515="",P515="",R515=""),"",O515*P515*(1-R515))</f>
        <v>5937.25</v>
      </c>
      <c r="Y515" s="13">
        <f>IF(OR(X515="",T515=""),"",X515-T515)</f>
        <v>1848.79</v>
      </c>
      <c r="Z515" s="14">
        <f>IFERROR(Y515/X515,"")</f>
        <v>0.3114</v>
      </c>
      <c r="AA515" s="11">
        <f>IF(OR(C515="",D515=""),"",D515-C515)</f>
        <v>5</v>
      </c>
      <c r="AB515" s="11">
        <f>IF(C515="","",MONTH(C515))</f>
        <v>6</v>
      </c>
      <c r="AC515" s="11">
        <f>IF(C515="","",YEAR(C515))</f>
        <v>2025</v>
      </c>
      <c r="AD515" s="11" t="s">
        <v>65</v>
      </c>
      <c r="AE515" s="11" t="s">
        <v>66</v>
      </c>
      <c r="AF515" s="11" t="s">
        <v>719</v>
      </c>
    </row>
    <row r="516" spans="1:32" x14ac:dyDescent="0.25">
      <c r="A516" s="1">
        <v>516</v>
      </c>
      <c r="B516" s="1" t="s">
        <v>1701</v>
      </c>
      <c r="C516" s="2">
        <v>45613.77083333333</v>
      </c>
      <c r="D516" s="2">
        <v>45617.77083333333</v>
      </c>
      <c r="E516" s="1" t="s">
        <v>1702</v>
      </c>
      <c r="F516" s="1" t="s">
        <v>34</v>
      </c>
      <c r="G516" s="1" t="s">
        <v>114</v>
      </c>
      <c r="H516" s="1" t="s">
        <v>71</v>
      </c>
      <c r="I516" s="1" t="s">
        <v>211</v>
      </c>
      <c r="J516" s="1" t="s">
        <v>212</v>
      </c>
      <c r="K516" s="1" t="s">
        <v>93</v>
      </c>
      <c r="L516" s="1" t="s">
        <v>94</v>
      </c>
      <c r="M516" s="1" t="s">
        <v>1703</v>
      </c>
      <c r="N516" s="1" t="s">
        <v>76</v>
      </c>
      <c r="O516" s="1">
        <v>6</v>
      </c>
      <c r="P516" s="3">
        <v>3872.94</v>
      </c>
      <c r="Q516" s="4">
        <v>0.1</v>
      </c>
      <c r="R516" s="4">
        <v>0.1</v>
      </c>
      <c r="S516" s="3">
        <v>20913.88</v>
      </c>
      <c r="T516" s="3">
        <v>11684.68</v>
      </c>
      <c r="U516" s="3">
        <v>9229.2</v>
      </c>
      <c r="V516" s="1" t="s">
        <v>43</v>
      </c>
      <c r="W516" s="1" t="s">
        <v>44</v>
      </c>
      <c r="X516" s="3">
        <f>IF(OR(O516="",P516="",R516=""),"",O516*P516*(1-R516))</f>
        <v>20913.88</v>
      </c>
      <c r="Y516" s="3">
        <f>IF(OR(X516="",T516=""),"",X516-T516)</f>
        <v>9229.2</v>
      </c>
      <c r="Z516" s="4">
        <f>IFERROR(Y516/X516,"")</f>
        <v>0.4413</v>
      </c>
      <c r="AA516" s="1">
        <f>IF(OR(C516="",D516=""),"",D516-C516)</f>
        <v>4</v>
      </c>
      <c r="AB516" s="1">
        <f>IF(C516="","",MONTH(C516))</f>
        <v>11</v>
      </c>
      <c r="AC516" s="1">
        <f>IF(C516="","",YEAR(C516))</f>
        <v>2024</v>
      </c>
      <c r="AD516" s="1" t="s">
        <v>45</v>
      </c>
      <c r="AE516" s="1" t="s">
        <v>46</v>
      </c>
      <c r="AF516" s="1" t="s">
        <v>47</v>
      </c>
    </row>
    <row r="517" spans="1:32" s="10" customFormat="1" x14ac:dyDescent="0.25">
      <c r="A517" s="11">
        <v>517</v>
      </c>
      <c r="B517" s="11" t="s">
        <v>1704</v>
      </c>
      <c r="C517" s="12">
        <v>45757.77083333333</v>
      </c>
      <c r="D517" s="12">
        <v>45757.77083333333</v>
      </c>
      <c r="E517" s="11" t="s">
        <v>1705</v>
      </c>
      <c r="F517" s="11" t="s">
        <v>139</v>
      </c>
      <c r="G517" s="11" t="s">
        <v>109</v>
      </c>
      <c r="H517" s="11" t="s">
        <v>36</v>
      </c>
      <c r="I517" s="11" t="s">
        <v>384</v>
      </c>
      <c r="J517" s="11" t="s">
        <v>385</v>
      </c>
      <c r="K517" s="11" t="s">
        <v>39</v>
      </c>
      <c r="L517" s="11" t="s">
        <v>40</v>
      </c>
      <c r="M517" s="11" t="s">
        <v>1706</v>
      </c>
      <c r="N517" s="11" t="s">
        <v>76</v>
      </c>
      <c r="O517" s="11">
        <v>1</v>
      </c>
      <c r="P517" s="13">
        <v>4458.49</v>
      </c>
      <c r="Q517" s="14">
        <v>-0.07</v>
      </c>
      <c r="R517" s="14">
        <v>-0.07</v>
      </c>
      <c r="S517" s="13">
        <v>3566.79</v>
      </c>
      <c r="T517" s="13">
        <v>2083.41</v>
      </c>
      <c r="U517" s="13">
        <v>1483.38</v>
      </c>
      <c r="V517" s="11" t="s">
        <v>43</v>
      </c>
      <c r="W517" s="11" t="s">
        <v>44</v>
      </c>
      <c r="X517" s="13">
        <f>IF(OR(O517="",P517="",R517=""),"",O517*P517*(1-R517))</f>
        <v>4770.58</v>
      </c>
      <c r="Y517" s="13">
        <f>IF(OR(X517="",T517=""),"",X517-T517)</f>
        <v>2687.17</v>
      </c>
      <c r="Z517" s="14">
        <f>IFERROR(Y517/X517,"")</f>
        <v>0.5633</v>
      </c>
      <c r="AA517" s="11">
        <f>IF(OR(C517="",D517=""),"",D517-C517)</f>
        <v>0</v>
      </c>
      <c r="AB517" s="11">
        <f>IF(C517="","",MONTH(C517))</f>
        <v>4</v>
      </c>
      <c r="AC517" s="11">
        <f>IF(C517="","",YEAR(C517))</f>
        <v>2025</v>
      </c>
      <c r="AD517" s="11" t="s">
        <v>65</v>
      </c>
      <c r="AE517" s="11" t="s">
        <v>66</v>
      </c>
      <c r="AF517" s="11" t="s">
        <v>165</v>
      </c>
    </row>
    <row r="518" spans="1:32" s="15" customFormat="1" x14ac:dyDescent="0.25">
      <c r="A518" s="16">
        <v>518</v>
      </c>
      <c r="B518" s="16" t="s">
        <v>1707</v>
      </c>
      <c r="C518" s="17">
        <v>45562.77083333333</v>
      </c>
      <c r="D518" s="17">
        <v>45568.77083333333</v>
      </c>
      <c r="E518" s="16" t="s">
        <v>1708</v>
      </c>
      <c r="F518" s="16" t="s">
        <v>294</v>
      </c>
      <c r="G518" s="16" t="s">
        <v>114</v>
      </c>
      <c r="H518" s="16" t="s">
        <v>36</v>
      </c>
      <c r="I518" s="16" t="s">
        <v>384</v>
      </c>
      <c r="J518" s="16" t="s">
        <v>385</v>
      </c>
      <c r="K518" s="16" t="s">
        <v>93</v>
      </c>
      <c r="L518" s="16" t="s">
        <v>99</v>
      </c>
      <c r="M518" s="16" t="s">
        <v>1709</v>
      </c>
      <c r="N518" s="16" t="s">
        <v>76</v>
      </c>
      <c r="O518" s="16">
        <v>1</v>
      </c>
      <c r="P518" s="18">
        <v>2233.18</v>
      </c>
      <c r="Q518" s="19">
        <v>0</v>
      </c>
      <c r="R518" s="19">
        <v>0</v>
      </c>
      <c r="S518" s="18">
        <v>2233.18</v>
      </c>
      <c r="T518" s="18">
        <v>1585.82</v>
      </c>
      <c r="U518" s="18">
        <v>647.36</v>
      </c>
      <c r="V518" s="16" t="s">
        <v>178</v>
      </c>
      <c r="W518" s="16" t="s">
        <v>122</v>
      </c>
      <c r="X518" s="18">
        <f>IF(OR(O518="",P518="",R518=""),"",O518*P518*(1-R518))</f>
        <v>2233.18</v>
      </c>
      <c r="Y518" s="18">
        <f>IF(OR(X518="",T518=""),"",X518-T518)</f>
        <v>647.36</v>
      </c>
      <c r="Z518" s="19">
        <f>IFERROR(Y518/X518,"")</f>
        <v>0.2899</v>
      </c>
      <c r="AA518" s="16">
        <f>IF(OR(C518="",D518=""),"",D518-C518)</f>
        <v>6</v>
      </c>
      <c r="AB518" s="16">
        <f>IF(C518="","",MONTH(C518))</f>
        <v>9</v>
      </c>
      <c r="AC518" s="16">
        <f>IF(C518="","",YEAR(C518))</f>
        <v>2024</v>
      </c>
      <c r="AD518" s="16" t="s">
        <v>86</v>
      </c>
      <c r="AE518" s="16" t="s">
        <v>66</v>
      </c>
      <c r="AF518" s="16" t="s">
        <v>179</v>
      </c>
    </row>
    <row r="519" spans="1:32" s="15" customFormat="1" x14ac:dyDescent="0.25">
      <c r="A519" s="16">
        <v>519</v>
      </c>
      <c r="B519" s="16" t="s">
        <v>1710</v>
      </c>
      <c r="C519" s="17">
        <v>45801.77083333333</v>
      </c>
      <c r="D519" s="17">
        <v>45803.77083333333</v>
      </c>
      <c r="E519" s="16" t="s">
        <v>1711</v>
      </c>
      <c r="F519" s="16" t="s">
        <v>139</v>
      </c>
      <c r="G519" s="16" t="s">
        <v>35</v>
      </c>
      <c r="H519" s="16" t="s">
        <v>52</v>
      </c>
      <c r="I519" s="16" t="s">
        <v>53</v>
      </c>
      <c r="J519" s="16" t="s">
        <v>54</v>
      </c>
      <c r="K519" s="16" t="s">
        <v>55</v>
      </c>
      <c r="L519" s="16" t="s">
        <v>74</v>
      </c>
      <c r="M519" s="16" t="s">
        <v>1712</v>
      </c>
      <c r="N519" s="16" t="s">
        <v>42</v>
      </c>
      <c r="O519" s="16">
        <v>7</v>
      </c>
      <c r="P519" s="18">
        <v>2123.28</v>
      </c>
      <c r="Q519" s="19">
        <v>0.2</v>
      </c>
      <c r="R519" s="19">
        <v>0.2</v>
      </c>
      <c r="S519" s="18">
        <v>11890.37</v>
      </c>
      <c r="T519" s="18">
        <v>9234.53</v>
      </c>
      <c r="U519" s="18">
        <v>2655.84</v>
      </c>
      <c r="V519" s="16" t="s">
        <v>121</v>
      </c>
      <c r="W519" s="16" t="s">
        <v>122</v>
      </c>
      <c r="X519" s="18">
        <f>IF(OR(O519="",P519="",R519=""),"",O519*P519*(1-R519))</f>
        <v>11890.37</v>
      </c>
      <c r="Y519" s="18">
        <f>IF(OR(X519="",T519=""),"",X519-T519)</f>
        <v>2655.84</v>
      </c>
      <c r="Z519" s="19">
        <f>IFERROR(Y519/X519,"")</f>
        <v>0.2234</v>
      </c>
      <c r="AA519" s="16">
        <f>IF(OR(C519="",D519=""),"",D519-C519)</f>
        <v>2</v>
      </c>
      <c r="AB519" s="16">
        <f>IF(C519="","",MONTH(C519))</f>
        <v>5</v>
      </c>
      <c r="AC519" s="16">
        <f>IF(C519="","",YEAR(C519))</f>
        <v>2025</v>
      </c>
      <c r="AD519" s="16" t="s">
        <v>86</v>
      </c>
      <c r="AE519" s="16" t="s">
        <v>66</v>
      </c>
      <c r="AF519" s="16" t="s">
        <v>123</v>
      </c>
    </row>
    <row r="520" spans="1:32" s="10" customFormat="1" x14ac:dyDescent="0.25">
      <c r="A520" s="11">
        <v>520</v>
      </c>
      <c r="B520" s="11" t="s">
        <v>1713</v>
      </c>
      <c r="C520" s="12">
        <v>45776.77083333333</v>
      </c>
      <c r="D520" s="12">
        <v>45772.77083333333</v>
      </c>
      <c r="E520" s="11" t="s">
        <v>1714</v>
      </c>
      <c r="F520" s="11" t="s">
        <v>186</v>
      </c>
      <c r="G520" s="11" t="s">
        <v>109</v>
      </c>
      <c r="H520" s="11" t="s">
        <v>52</v>
      </c>
      <c r="I520" s="11" t="s">
        <v>53</v>
      </c>
      <c r="J520" s="11" t="s">
        <v>54</v>
      </c>
      <c r="K520" s="11" t="s">
        <v>55</v>
      </c>
      <c r="L520" s="11" t="s">
        <v>56</v>
      </c>
      <c r="M520" s="11" t="s">
        <v>1715</v>
      </c>
      <c r="N520" s="11" t="s">
        <v>64</v>
      </c>
      <c r="O520" s="11">
        <v>7</v>
      </c>
      <c r="P520" s="13">
        <v>1604.13</v>
      </c>
      <c r="Q520" s="14">
        <v>0.25</v>
      </c>
      <c r="R520" s="14">
        <v>0.25</v>
      </c>
      <c r="S520" s="13">
        <v>8421.68</v>
      </c>
      <c r="T520" s="13">
        <v>6534.47</v>
      </c>
      <c r="U520" s="13">
        <v>1887.21</v>
      </c>
      <c r="V520" s="11" t="s">
        <v>43</v>
      </c>
      <c r="W520" s="11" t="s">
        <v>85</v>
      </c>
      <c r="X520" s="13">
        <f>IF(OR(O520="",P520="",R520=""),"",O520*P520*(1-R520))</f>
        <v>8421.68</v>
      </c>
      <c r="Y520" s="13">
        <f>IF(OR(X520="",T520=""),"",X520-T520)</f>
        <v>1887.21</v>
      </c>
      <c r="Z520" s="14">
        <f>IFERROR(Y520/X520,"")</f>
        <v>0.2241</v>
      </c>
      <c r="AA520" s="11">
        <f>IF(OR(C520="",D520=""),"",D520-C520)</f>
        <v>-4</v>
      </c>
      <c r="AB520" s="11">
        <f>IF(C520="","",MONTH(C520))</f>
        <v>4</v>
      </c>
      <c r="AC520" s="11">
        <f>IF(C520="","",YEAR(C520))</f>
        <v>2025</v>
      </c>
      <c r="AD520" s="11" t="s">
        <v>65</v>
      </c>
      <c r="AE520" s="11" t="s">
        <v>66</v>
      </c>
      <c r="AF520" s="11" t="s">
        <v>1716</v>
      </c>
    </row>
    <row r="521" spans="1:32" s="15" customFormat="1" x14ac:dyDescent="0.25">
      <c r="A521" s="16">
        <v>521</v>
      </c>
      <c r="B521" s="16" t="s">
        <v>1717</v>
      </c>
      <c r="C521" s="17">
        <v>45840.77083333333</v>
      </c>
      <c r="D521" s="17">
        <v>45844.77083333333</v>
      </c>
      <c r="E521" s="16" t="s">
        <v>1718</v>
      </c>
      <c r="F521" s="16" t="s">
        <v>135</v>
      </c>
      <c r="G521" s="16" t="s">
        <v>35</v>
      </c>
      <c r="H521" s="16" t="s">
        <v>36</v>
      </c>
      <c r="I521" s="16" t="s">
        <v>157</v>
      </c>
      <c r="J521" s="16" t="s">
        <v>158</v>
      </c>
      <c r="K521" s="16" t="s">
        <v>55</v>
      </c>
      <c r="L521" s="16" t="s">
        <v>56</v>
      </c>
      <c r="M521" s="16" t="s">
        <v>1719</v>
      </c>
      <c r="N521" s="16" t="s">
        <v>76</v>
      </c>
      <c r="O521" s="16">
        <v>4</v>
      </c>
      <c r="P521" s="18">
        <v>4365.21</v>
      </c>
      <c r="Q521" s="19">
        <v>0.2</v>
      </c>
      <c r="R521" s="19">
        <v>0.2</v>
      </c>
      <c r="S521" s="18">
        <v>13968.67</v>
      </c>
      <c r="T521" s="18">
        <v>8857.58</v>
      </c>
      <c r="U521" s="18">
        <v>5111.09</v>
      </c>
      <c r="V521" s="16" t="s">
        <v>131</v>
      </c>
      <c r="W521" s="16" t="s">
        <v>85</v>
      </c>
      <c r="X521" s="18">
        <f>IF(OR(O521="",P521="",R521=""),"",O521*P521*(1-R521))</f>
        <v>13968.67</v>
      </c>
      <c r="Y521" s="18">
        <f>IF(OR(X521="",T521=""),"",X521-T521)</f>
        <v>5111.09</v>
      </c>
      <c r="Z521" s="19">
        <f>IFERROR(Y521/X521,"")</f>
        <v>0.3659</v>
      </c>
      <c r="AA521" s="16">
        <f>IF(OR(C521="",D521=""),"",D521-C521)</f>
        <v>4</v>
      </c>
      <c r="AB521" s="16">
        <f>IF(C521="","",MONTH(C521))</f>
        <v>7</v>
      </c>
      <c r="AC521" s="16">
        <f>IF(C521="","",YEAR(C521))</f>
        <v>2025</v>
      </c>
      <c r="AD521" s="16" t="s">
        <v>86</v>
      </c>
      <c r="AE521" s="16" t="s">
        <v>66</v>
      </c>
      <c r="AF521" s="16" t="s">
        <v>255</v>
      </c>
    </row>
    <row r="522" spans="1:32" x14ac:dyDescent="0.25">
      <c r="A522" s="1">
        <v>522</v>
      </c>
      <c r="B522" s="1" t="s">
        <v>1720</v>
      </c>
      <c r="C522" s="2">
        <v>45488.77083333333</v>
      </c>
      <c r="D522" s="2">
        <v>45495.77083333333</v>
      </c>
      <c r="E522" s="1" t="s">
        <v>1721</v>
      </c>
      <c r="F522" s="1" t="s">
        <v>149</v>
      </c>
      <c r="G522" s="1" t="s">
        <v>114</v>
      </c>
      <c r="H522" s="1" t="s">
        <v>71</v>
      </c>
      <c r="I522" s="1" t="s">
        <v>201</v>
      </c>
      <c r="J522" s="1" t="s">
        <v>202</v>
      </c>
      <c r="K522" s="1" t="s">
        <v>93</v>
      </c>
      <c r="L522" s="1" t="s">
        <v>305</v>
      </c>
      <c r="M522" s="1" t="s">
        <v>1722</v>
      </c>
      <c r="N522" s="1" t="s">
        <v>58</v>
      </c>
      <c r="O522" s="1">
        <v>1</v>
      </c>
      <c r="P522" s="3">
        <v>1695.91</v>
      </c>
      <c r="Q522" s="4">
        <v>0.05</v>
      </c>
      <c r="R522" s="4">
        <v>0.05</v>
      </c>
      <c r="S522" s="3">
        <v>1611.11</v>
      </c>
      <c r="T522" s="3">
        <v>895.15</v>
      </c>
      <c r="U522" s="3">
        <v>715.96</v>
      </c>
      <c r="V522" s="1" t="s">
        <v>43</v>
      </c>
      <c r="W522" s="1" t="s">
        <v>44</v>
      </c>
      <c r="X522" s="3">
        <f>IF(OR(O522="",P522="",R522=""),"",O522*P522*(1-R522))</f>
        <v>1611.11</v>
      </c>
      <c r="Y522" s="3">
        <f>IF(OR(X522="",T522=""),"",X522-T522)</f>
        <v>715.96</v>
      </c>
      <c r="Z522" s="4">
        <f>IFERROR(Y522/X522,"")</f>
        <v>0.4444</v>
      </c>
      <c r="AA522" s="1">
        <f>IF(OR(C522="",D522=""),"",D522-C522)</f>
        <v>7</v>
      </c>
      <c r="AB522" s="1">
        <f>IF(C522="","",MONTH(C522))</f>
        <v>7</v>
      </c>
      <c r="AC522" s="1">
        <f>IF(C522="","",YEAR(C522))</f>
        <v>2024</v>
      </c>
      <c r="AD522" s="1" t="s">
        <v>45</v>
      </c>
      <c r="AE522" s="1" t="s">
        <v>46</v>
      </c>
      <c r="AF522" s="1" t="s">
        <v>47</v>
      </c>
    </row>
    <row r="523" spans="1:32" x14ac:dyDescent="0.25">
      <c r="A523" s="1">
        <v>523</v>
      </c>
      <c r="B523" s="1" t="s">
        <v>1723</v>
      </c>
      <c r="C523" s="2">
        <v>45740.77083333333</v>
      </c>
      <c r="D523" s="2">
        <v>45747.77083333333</v>
      </c>
      <c r="E523" s="1" t="s">
        <v>1724</v>
      </c>
      <c r="F523" s="1" t="s">
        <v>186</v>
      </c>
      <c r="G523" s="1" t="s">
        <v>35</v>
      </c>
      <c r="H523" s="1" t="s">
        <v>36</v>
      </c>
      <c r="I523" s="1" t="s">
        <v>143</v>
      </c>
      <c r="J523" s="1" t="s">
        <v>144</v>
      </c>
      <c r="K523" s="1" t="s">
        <v>39</v>
      </c>
      <c r="L523" s="1" t="s">
        <v>110</v>
      </c>
      <c r="M523" s="1" t="s">
        <v>1725</v>
      </c>
      <c r="N523" s="1" t="s">
        <v>42</v>
      </c>
      <c r="O523" s="1">
        <v>6</v>
      </c>
      <c r="P523" s="3">
        <v>2192.11</v>
      </c>
      <c r="Q523" s="4">
        <v>0.05</v>
      </c>
      <c r="R523" s="4">
        <v>0.05</v>
      </c>
      <c r="S523" s="3">
        <v>12495.03</v>
      </c>
      <c r="T523" s="3">
        <v>9184.52</v>
      </c>
      <c r="U523" s="3">
        <v>3310.51</v>
      </c>
      <c r="V523" s="1" t="s">
        <v>43</v>
      </c>
      <c r="W523" s="1" t="s">
        <v>44</v>
      </c>
      <c r="X523" s="3">
        <f>IF(OR(O523="",P523="",R523=""),"",O523*P523*(1-R523))</f>
        <v>12495.03</v>
      </c>
      <c r="Y523" s="3">
        <f>IF(OR(X523="",T523=""),"",X523-T523)</f>
        <v>3310.51</v>
      </c>
      <c r="Z523" s="4">
        <f>IFERROR(Y523/X523,"")</f>
        <v>0.2649</v>
      </c>
      <c r="AA523" s="1">
        <f>IF(OR(C523="",D523=""),"",D523-C523)</f>
        <v>7</v>
      </c>
      <c r="AB523" s="1">
        <f>IF(C523="","",MONTH(C523))</f>
        <v>3</v>
      </c>
      <c r="AC523" s="1">
        <f>IF(C523="","",YEAR(C523))</f>
        <v>2025</v>
      </c>
      <c r="AD523" s="1" t="s">
        <v>45</v>
      </c>
      <c r="AE523" s="1" t="s">
        <v>46</v>
      </c>
      <c r="AF523" s="1" t="s">
        <v>47</v>
      </c>
    </row>
    <row r="524" spans="1:32" x14ac:dyDescent="0.25">
      <c r="A524" s="1">
        <v>524</v>
      </c>
      <c r="B524" s="1" t="s">
        <v>1726</v>
      </c>
      <c r="C524" s="2">
        <v>45715.77083333333</v>
      </c>
      <c r="D524" s="2">
        <v>45723.77083333333</v>
      </c>
      <c r="E524" s="1" t="s">
        <v>1727</v>
      </c>
      <c r="F524" s="1" t="s">
        <v>98</v>
      </c>
      <c r="G524" s="1" t="s">
        <v>51</v>
      </c>
      <c r="H524" s="1" t="s">
        <v>52</v>
      </c>
      <c r="I524" s="1" t="s">
        <v>258</v>
      </c>
      <c r="J524" s="1" t="s">
        <v>259</v>
      </c>
      <c r="K524" s="1" t="s">
        <v>93</v>
      </c>
      <c r="L524" s="1" t="s">
        <v>196</v>
      </c>
      <c r="M524" s="1" t="s">
        <v>1728</v>
      </c>
      <c r="N524" s="1" t="s">
        <v>64</v>
      </c>
      <c r="O524" s="1">
        <v>9</v>
      </c>
      <c r="P524" s="3">
        <v>3670.54</v>
      </c>
      <c r="Q524" s="4">
        <v>0</v>
      </c>
      <c r="R524" s="4">
        <v>0</v>
      </c>
      <c r="S524" s="3">
        <v>33034.86</v>
      </c>
      <c r="T524" s="3">
        <v>24539.83</v>
      </c>
      <c r="U524" s="3">
        <v>8495.03</v>
      </c>
      <c r="V524" s="1" t="s">
        <v>43</v>
      </c>
      <c r="W524" s="1" t="s">
        <v>44</v>
      </c>
      <c r="X524" s="3">
        <f>IF(OR(O524="",P524="",R524=""),"",O524*P524*(1-R524))</f>
        <v>33034.86</v>
      </c>
      <c r="Y524" s="3">
        <f>IF(OR(X524="",T524=""),"",X524-T524)</f>
        <v>8495.03</v>
      </c>
      <c r="Z524" s="4">
        <f>IFERROR(Y524/X524,"")</f>
        <v>0.2572</v>
      </c>
      <c r="AA524" s="1">
        <f>IF(OR(C524="",D524=""),"",D524-C524)</f>
        <v>8</v>
      </c>
      <c r="AB524" s="1">
        <f>IF(C524="","",MONTH(C524))</f>
        <v>2</v>
      </c>
      <c r="AC524" s="1">
        <f>IF(C524="","",YEAR(C524))</f>
        <v>2025</v>
      </c>
      <c r="AD524" s="1" t="s">
        <v>45</v>
      </c>
      <c r="AE524" s="1" t="s">
        <v>46</v>
      </c>
      <c r="AF524" s="1" t="s">
        <v>47</v>
      </c>
    </row>
    <row r="525" spans="1:32" s="15" customFormat="1" x14ac:dyDescent="0.25">
      <c r="A525" s="16">
        <v>525</v>
      </c>
      <c r="B525" s="16" t="s">
        <v>1729</v>
      </c>
      <c r="C525" s="17">
        <v>45383.77083333333</v>
      </c>
      <c r="D525" s="17">
        <v>45384.77083333333</v>
      </c>
      <c r="E525" s="16" t="s">
        <v>1730</v>
      </c>
      <c r="F525" s="16" t="s">
        <v>294</v>
      </c>
      <c r="G525" s="16" t="s">
        <v>114</v>
      </c>
      <c r="H525" s="16" t="s">
        <v>80</v>
      </c>
      <c r="I525" s="16" t="s">
        <v>216</v>
      </c>
      <c r="J525" s="16" t="s">
        <v>217</v>
      </c>
      <c r="K525" s="16" t="s">
        <v>39</v>
      </c>
      <c r="L525" s="16" t="s">
        <v>40</v>
      </c>
      <c r="M525" s="16" t="s">
        <v>1731</v>
      </c>
      <c r="N525" s="16" t="s">
        <v>42</v>
      </c>
      <c r="O525" s="16">
        <v>2</v>
      </c>
      <c r="P525" s="18">
        <v>2902.63</v>
      </c>
      <c r="Q525" s="19">
        <v>0</v>
      </c>
      <c r="R525" s="19">
        <v>0</v>
      </c>
      <c r="S525" s="18">
        <v>5805.26</v>
      </c>
      <c r="T525" s="18">
        <v>4654.36</v>
      </c>
      <c r="U525" s="18">
        <v>1150.9</v>
      </c>
      <c r="V525" s="16" t="s">
        <v>43</v>
      </c>
      <c r="W525" s="16" t="s">
        <v>122</v>
      </c>
      <c r="X525" s="18">
        <f>IF(OR(O525="",P525="",R525=""),"",O525*P525*(1-R525))</f>
        <v>5805.26</v>
      </c>
      <c r="Y525" s="18">
        <f>IF(OR(X525="",T525=""),"",X525-T525)</f>
        <v>1150.9</v>
      </c>
      <c r="Z525" s="19">
        <f>IFERROR(Y525/X525,"")</f>
        <v>0.1983</v>
      </c>
      <c r="AA525" s="16">
        <f>IF(OR(C525="",D525=""),"",D525-C525)</f>
        <v>1</v>
      </c>
      <c r="AB525" s="16">
        <f>IF(C525="","",MONTH(C525))</f>
        <v>4</v>
      </c>
      <c r="AC525" s="16">
        <f>IF(C525="","",YEAR(C525))</f>
        <v>2024</v>
      </c>
      <c r="AD525" s="16" t="s">
        <v>86</v>
      </c>
      <c r="AE525" s="16" t="s">
        <v>66</v>
      </c>
      <c r="AF525" s="16" t="s">
        <v>198</v>
      </c>
    </row>
    <row r="526" spans="1:32" x14ac:dyDescent="0.25">
      <c r="A526" s="1">
        <v>526</v>
      </c>
      <c r="B526" s="1" t="s">
        <v>1732</v>
      </c>
      <c r="C526" s="2">
        <v>45625.77083333333</v>
      </c>
      <c r="D526" s="2">
        <v>45626.77083333333</v>
      </c>
      <c r="E526" s="1" t="s">
        <v>1733</v>
      </c>
      <c r="F526" s="1" t="s">
        <v>79</v>
      </c>
      <c r="G526" s="1" t="s">
        <v>109</v>
      </c>
      <c r="H526" s="1" t="s">
        <v>80</v>
      </c>
      <c r="I526" s="1" t="s">
        <v>206</v>
      </c>
      <c r="J526" s="1" t="s">
        <v>207</v>
      </c>
      <c r="K526" s="1" t="s">
        <v>55</v>
      </c>
      <c r="L526" s="1" t="s">
        <v>83</v>
      </c>
      <c r="M526" s="1" t="s">
        <v>1734</v>
      </c>
      <c r="N526" s="1" t="s">
        <v>64</v>
      </c>
      <c r="O526" s="1">
        <v>9</v>
      </c>
      <c r="P526" s="3">
        <v>4207.36</v>
      </c>
      <c r="Q526" s="4">
        <v>0.1</v>
      </c>
      <c r="R526" s="4">
        <v>0.1</v>
      </c>
      <c r="S526" s="3">
        <v>34079.62</v>
      </c>
      <c r="T526" s="3">
        <v>21871.39</v>
      </c>
      <c r="U526" s="3">
        <v>12208.23</v>
      </c>
      <c r="V526" s="1" t="s">
        <v>43</v>
      </c>
      <c r="W526" s="1" t="s">
        <v>44</v>
      </c>
      <c r="X526" s="3">
        <f>IF(OR(O526="",P526="",R526=""),"",O526*P526*(1-R526))</f>
        <v>34079.62</v>
      </c>
      <c r="Y526" s="3">
        <f>IF(OR(X526="",T526=""),"",X526-T526)</f>
        <v>12208.23</v>
      </c>
      <c r="Z526" s="4">
        <f>IFERROR(Y526/X526,"")</f>
        <v>0.3582</v>
      </c>
      <c r="AA526" s="1">
        <f>IF(OR(C526="",D526=""),"",D526-C526)</f>
        <v>1</v>
      </c>
      <c r="AB526" s="1">
        <f>IF(C526="","",MONTH(C526))</f>
        <v>11</v>
      </c>
      <c r="AC526" s="1">
        <f>IF(C526="","",YEAR(C526))</f>
        <v>2024</v>
      </c>
      <c r="AD526" s="1" t="s">
        <v>45</v>
      </c>
      <c r="AE526" s="1" t="s">
        <v>46</v>
      </c>
      <c r="AF526" s="1" t="s">
        <v>47</v>
      </c>
    </row>
    <row r="527" spans="1:32" x14ac:dyDescent="0.25">
      <c r="A527" s="1">
        <v>527</v>
      </c>
      <c r="B527" s="1" t="s">
        <v>1735</v>
      </c>
      <c r="C527" s="2">
        <v>45581.77083333333</v>
      </c>
      <c r="D527" s="2">
        <v>45581.77083333333</v>
      </c>
      <c r="E527" s="1" t="s">
        <v>1736</v>
      </c>
      <c r="F527" s="1" t="s">
        <v>135</v>
      </c>
      <c r="G527" s="1" t="s">
        <v>114</v>
      </c>
      <c r="H527" s="1" t="s">
        <v>52</v>
      </c>
      <c r="I527" s="1" t="s">
        <v>118</v>
      </c>
      <c r="J527" s="1" t="s">
        <v>119</v>
      </c>
      <c r="K527" s="1" t="s">
        <v>55</v>
      </c>
      <c r="L527" s="1" t="s">
        <v>83</v>
      </c>
      <c r="M527" s="1" t="s">
        <v>1737</v>
      </c>
      <c r="N527" s="1" t="s">
        <v>76</v>
      </c>
      <c r="O527" s="1">
        <v>5</v>
      </c>
      <c r="P527" s="3">
        <v>2524.4</v>
      </c>
      <c r="Q527" s="4">
        <v>0.1</v>
      </c>
      <c r="R527" s="4">
        <v>0.1</v>
      </c>
      <c r="S527" s="3">
        <v>11359.8</v>
      </c>
      <c r="T527" s="3">
        <v>7062.44</v>
      </c>
      <c r="U527" s="3">
        <v>4297.36</v>
      </c>
      <c r="V527" s="1" t="s">
        <v>43</v>
      </c>
      <c r="W527" s="1" t="s">
        <v>44</v>
      </c>
      <c r="X527" s="3">
        <f>IF(OR(O527="",P527="",R527=""),"",O527*P527*(1-R527))</f>
        <v>11359.8</v>
      </c>
      <c r="Y527" s="3">
        <f>IF(OR(X527="",T527=""),"",X527-T527)</f>
        <v>4297.36</v>
      </c>
      <c r="Z527" s="4">
        <f>IFERROR(Y527/X527,"")</f>
        <v>0.3783</v>
      </c>
      <c r="AA527" s="1">
        <f>IF(OR(C527="",D527=""),"",D527-C527)</f>
        <v>0</v>
      </c>
      <c r="AB527" s="1">
        <f>IF(C527="","",MONTH(C527))</f>
        <v>10</v>
      </c>
      <c r="AC527" s="1">
        <f>IF(C527="","",YEAR(C527))</f>
        <v>2024</v>
      </c>
      <c r="AD527" s="1" t="s">
        <v>45</v>
      </c>
      <c r="AE527" s="1" t="s">
        <v>46</v>
      </c>
      <c r="AF527" s="1" t="s">
        <v>47</v>
      </c>
    </row>
    <row r="528" spans="1:32" s="10" customFormat="1" x14ac:dyDescent="0.25">
      <c r="A528" s="11">
        <v>528</v>
      </c>
      <c r="B528" s="11" t="s">
        <v>1738</v>
      </c>
      <c r="C528" s="12">
        <v>45855.77083333333</v>
      </c>
      <c r="D528" s="12">
        <v>45858.77083333333</v>
      </c>
      <c r="E528" s="11" t="s">
        <v>1739</v>
      </c>
      <c r="F528" s="11" t="s">
        <v>135</v>
      </c>
      <c r="G528" s="11" t="s">
        <v>35</v>
      </c>
      <c r="H528" s="11" t="s">
        <v>52</v>
      </c>
      <c r="I528" s="11" t="s">
        <v>53</v>
      </c>
      <c r="J528" s="11" t="s">
        <v>54</v>
      </c>
      <c r="K528" s="11" t="s">
        <v>55</v>
      </c>
      <c r="L528" s="11" t="s">
        <v>56</v>
      </c>
      <c r="M528" s="11" t="s">
        <v>1740</v>
      </c>
      <c r="N528" s="11" t="s">
        <v>42</v>
      </c>
      <c r="O528" s="11">
        <v>4</v>
      </c>
      <c r="P528" s="13">
        <v>284.04</v>
      </c>
      <c r="Q528" s="14"/>
      <c r="R528" s="14">
        <v>0</v>
      </c>
      <c r="S528" s="13">
        <v>908.93</v>
      </c>
      <c r="T528" s="13">
        <v>572.08</v>
      </c>
      <c r="U528" s="13">
        <v>336.85</v>
      </c>
      <c r="V528" s="11" t="s">
        <v>43</v>
      </c>
      <c r="W528" s="11" t="s">
        <v>44</v>
      </c>
      <c r="X528" s="13">
        <f>IF(OR(O528="",P528="",R528=""),"",O528*P528*(1-R528))</f>
        <v>1136.16</v>
      </c>
      <c r="Y528" s="13">
        <f>IF(OR(X528="",T528=""),"",X528-T528)</f>
        <v>564.08</v>
      </c>
      <c r="Z528" s="14">
        <f>IFERROR(Y528/X528,"")</f>
        <v>0.4965</v>
      </c>
      <c r="AA528" s="11">
        <f>IF(OR(C528="",D528=""),"",D528-C528)</f>
        <v>3</v>
      </c>
      <c r="AB528" s="11">
        <f>IF(C528="","",MONTH(C528))</f>
        <v>7</v>
      </c>
      <c r="AC528" s="11">
        <f>IF(C528="","",YEAR(C528))</f>
        <v>2025</v>
      </c>
      <c r="AD528" s="11" t="s">
        <v>65</v>
      </c>
      <c r="AE528" s="11" t="s">
        <v>66</v>
      </c>
      <c r="AF528" s="11" t="s">
        <v>225</v>
      </c>
    </row>
    <row r="529" spans="1:32" x14ac:dyDescent="0.25">
      <c r="A529" s="1">
        <v>529</v>
      </c>
      <c r="B529" s="1" t="s">
        <v>1741</v>
      </c>
      <c r="C529" s="2">
        <v>45930.77083333333</v>
      </c>
      <c r="D529" s="2">
        <v>45934.77083333333</v>
      </c>
      <c r="E529" s="1" t="s">
        <v>1742</v>
      </c>
      <c r="F529" s="1" t="s">
        <v>108</v>
      </c>
      <c r="G529" s="1" t="s">
        <v>114</v>
      </c>
      <c r="H529" s="1" t="s">
        <v>36</v>
      </c>
      <c r="I529" s="1" t="s">
        <v>266</v>
      </c>
      <c r="J529" s="1" t="s">
        <v>267</v>
      </c>
      <c r="K529" s="1" t="s">
        <v>39</v>
      </c>
      <c r="L529" s="1" t="s">
        <v>40</v>
      </c>
      <c r="M529" s="1" t="s">
        <v>1743</v>
      </c>
      <c r="N529" s="1" t="s">
        <v>64</v>
      </c>
      <c r="O529" s="1">
        <v>5</v>
      </c>
      <c r="P529" s="3">
        <v>3247.56</v>
      </c>
      <c r="Q529" s="4">
        <v>0.15</v>
      </c>
      <c r="R529" s="4">
        <v>0.15</v>
      </c>
      <c r="S529" s="3">
        <v>13802.13</v>
      </c>
      <c r="T529" s="3">
        <v>10075.93</v>
      </c>
      <c r="U529" s="3">
        <v>3726.2</v>
      </c>
      <c r="V529" s="1" t="s">
        <v>43</v>
      </c>
      <c r="W529" s="1" t="s">
        <v>44</v>
      </c>
      <c r="X529" s="3">
        <f>IF(OR(O529="",P529="",R529=""),"",O529*P529*(1-R529))</f>
        <v>13802.13</v>
      </c>
      <c r="Y529" s="3">
        <f>IF(OR(X529="",T529=""),"",X529-T529)</f>
        <v>3726.2</v>
      </c>
      <c r="Z529" s="4">
        <f>IFERROR(Y529/X529,"")</f>
        <v>0.27</v>
      </c>
      <c r="AA529" s="1">
        <f>IF(OR(C529="",D529=""),"",D529-C529)</f>
        <v>4</v>
      </c>
      <c r="AB529" s="1">
        <f>IF(C529="","",MONTH(C529))</f>
        <v>10</v>
      </c>
      <c r="AC529" s="1">
        <f>IF(C529="","",YEAR(C529))</f>
        <v>2025</v>
      </c>
      <c r="AD529" s="1" t="s">
        <v>45</v>
      </c>
      <c r="AE529" s="1" t="s">
        <v>46</v>
      </c>
      <c r="AF529" s="1" t="s">
        <v>47</v>
      </c>
    </row>
    <row r="530" spans="1:32" s="15" customFormat="1" x14ac:dyDescent="0.25">
      <c r="A530" s="16">
        <v>530</v>
      </c>
      <c r="B530" s="16" t="s">
        <v>1744</v>
      </c>
      <c r="C530" s="17">
        <v>45571.77083333333</v>
      </c>
      <c r="D530" s="17">
        <v>45573.77083333333</v>
      </c>
      <c r="E530" s="16" t="s">
        <v>1745</v>
      </c>
      <c r="F530" s="16" t="s">
        <v>186</v>
      </c>
      <c r="G530" s="16" t="s">
        <v>35</v>
      </c>
      <c r="H530" s="16" t="s">
        <v>71</v>
      </c>
      <c r="I530" s="16" t="s">
        <v>277</v>
      </c>
      <c r="J530" s="16" t="s">
        <v>278</v>
      </c>
      <c r="K530" s="16" t="s">
        <v>39</v>
      </c>
      <c r="L530" s="16" t="s">
        <v>176</v>
      </c>
      <c r="M530" s="16" t="s">
        <v>1746</v>
      </c>
      <c r="N530" s="16" t="s">
        <v>76</v>
      </c>
      <c r="O530" s="16">
        <v>9</v>
      </c>
      <c r="P530" s="18">
        <v>3457.09</v>
      </c>
      <c r="Q530" s="19">
        <v>0.05</v>
      </c>
      <c r="R530" s="19">
        <v>0.05</v>
      </c>
      <c r="S530" s="18">
        <v>29558.12</v>
      </c>
      <c r="T530" s="18">
        <v>21302.13</v>
      </c>
      <c r="U530" s="18">
        <v>8255.99</v>
      </c>
      <c r="V530" s="16" t="s">
        <v>131</v>
      </c>
      <c r="W530" s="16" t="s">
        <v>122</v>
      </c>
      <c r="X530" s="18">
        <f>IF(OR(O530="",P530="",R530=""),"",O530*P530*(1-R530))</f>
        <v>29558.12</v>
      </c>
      <c r="Y530" s="18">
        <f>IF(OR(X530="",T530=""),"",X530-T530)</f>
        <v>8255.99</v>
      </c>
      <c r="Z530" s="19">
        <f>IFERROR(Y530/X530,"")</f>
        <v>0.2793</v>
      </c>
      <c r="AA530" s="16">
        <f>IF(OR(C530="",D530=""),"",D530-C530)</f>
        <v>2</v>
      </c>
      <c r="AB530" s="16">
        <f>IF(C530="","",MONTH(C530))</f>
        <v>10</v>
      </c>
      <c r="AC530" s="16">
        <f>IF(C530="","",YEAR(C530))</f>
        <v>2024</v>
      </c>
      <c r="AD530" s="16" t="s">
        <v>86</v>
      </c>
      <c r="AE530" s="16" t="s">
        <v>66</v>
      </c>
      <c r="AF530" s="16" t="s">
        <v>132</v>
      </c>
    </row>
    <row r="531" spans="1:32" x14ac:dyDescent="0.25">
      <c r="A531" s="1">
        <v>531</v>
      </c>
      <c r="B531" s="1" t="s">
        <v>1747</v>
      </c>
      <c r="C531" s="2">
        <v>45327.77083333333</v>
      </c>
      <c r="D531" s="2">
        <v>45329.77083333333</v>
      </c>
      <c r="E531" s="1" t="s">
        <v>775</v>
      </c>
      <c r="F531" s="1" t="s">
        <v>34</v>
      </c>
      <c r="G531" s="1" t="s">
        <v>35</v>
      </c>
      <c r="H531" s="1" t="s">
        <v>52</v>
      </c>
      <c r="I531" s="1" t="s">
        <v>258</v>
      </c>
      <c r="J531" s="1" t="s">
        <v>259</v>
      </c>
      <c r="K531" s="1" t="s">
        <v>55</v>
      </c>
      <c r="L531" s="1" t="s">
        <v>182</v>
      </c>
      <c r="M531" s="1" t="s">
        <v>1748</v>
      </c>
      <c r="N531" s="1" t="s">
        <v>42</v>
      </c>
      <c r="O531" s="1">
        <v>9</v>
      </c>
      <c r="P531" s="3">
        <v>1822.25</v>
      </c>
      <c r="Q531" s="4">
        <v>0</v>
      </c>
      <c r="R531" s="4">
        <v>0</v>
      </c>
      <c r="S531" s="3">
        <v>16400.25</v>
      </c>
      <c r="T531" s="3">
        <v>12146.96</v>
      </c>
      <c r="U531" s="3">
        <v>4253.29</v>
      </c>
      <c r="V531" s="1" t="s">
        <v>43</v>
      </c>
      <c r="W531" s="1" t="s">
        <v>44</v>
      </c>
      <c r="X531" s="3">
        <f>IF(OR(O531="",P531="",R531=""),"",O531*P531*(1-R531))</f>
        <v>16400.25</v>
      </c>
      <c r="Y531" s="3">
        <f>IF(OR(X531="",T531=""),"",X531-T531)</f>
        <v>4253.29</v>
      </c>
      <c r="Z531" s="4">
        <f>IFERROR(Y531/X531,"")</f>
        <v>0.2593</v>
      </c>
      <c r="AA531" s="1">
        <f>IF(OR(C531="",D531=""),"",D531-C531)</f>
        <v>2</v>
      </c>
      <c r="AB531" s="1">
        <f>IF(C531="","",MONTH(C531))</f>
        <v>2</v>
      </c>
      <c r="AC531" s="1">
        <f>IF(C531="","",YEAR(C531))</f>
        <v>2024</v>
      </c>
      <c r="AD531" s="1" t="s">
        <v>45</v>
      </c>
      <c r="AE531" s="1" t="s">
        <v>46</v>
      </c>
      <c r="AF531" s="1" t="s">
        <v>47</v>
      </c>
    </row>
    <row r="532" spans="1:32" x14ac:dyDescent="0.25">
      <c r="A532" s="1">
        <v>532</v>
      </c>
      <c r="B532" s="1" t="s">
        <v>1749</v>
      </c>
      <c r="C532" s="2">
        <v>45806.77083333333</v>
      </c>
      <c r="D532" s="2">
        <v>45808.77083333333</v>
      </c>
      <c r="E532" s="1" t="s">
        <v>1750</v>
      </c>
      <c r="F532" s="1" t="s">
        <v>139</v>
      </c>
      <c r="G532" s="1" t="s">
        <v>114</v>
      </c>
      <c r="H532" s="1" t="s">
        <v>71</v>
      </c>
      <c r="I532" s="1" t="s">
        <v>277</v>
      </c>
      <c r="J532" s="1" t="s">
        <v>278</v>
      </c>
      <c r="K532" s="1" t="s">
        <v>39</v>
      </c>
      <c r="L532" s="1" t="s">
        <v>176</v>
      </c>
      <c r="M532" s="1" t="s">
        <v>1751</v>
      </c>
      <c r="N532" s="1" t="s">
        <v>76</v>
      </c>
      <c r="O532" s="1">
        <v>9</v>
      </c>
      <c r="P532" s="3">
        <v>1994.51</v>
      </c>
      <c r="Q532" s="4">
        <v>0.05</v>
      </c>
      <c r="R532" s="4">
        <v>0.05</v>
      </c>
      <c r="S532" s="3">
        <v>17053.06</v>
      </c>
      <c r="T532" s="3">
        <v>10742.38</v>
      </c>
      <c r="U532" s="3">
        <v>6310.68</v>
      </c>
      <c r="V532" s="1" t="s">
        <v>43</v>
      </c>
      <c r="W532" s="1" t="s">
        <v>44</v>
      </c>
      <c r="X532" s="3">
        <f>IF(OR(O532="",P532="",R532=""),"",O532*P532*(1-R532))</f>
        <v>17053.06</v>
      </c>
      <c r="Y532" s="3">
        <f>IF(OR(X532="",T532=""),"",X532-T532)</f>
        <v>6310.68</v>
      </c>
      <c r="Z532" s="4">
        <f>IFERROR(Y532/X532,"")</f>
        <v>0.3701</v>
      </c>
      <c r="AA532" s="1">
        <f>IF(OR(C532="",D532=""),"",D532-C532)</f>
        <v>2</v>
      </c>
      <c r="AB532" s="1">
        <f>IF(C532="","",MONTH(C532))</f>
        <v>5</v>
      </c>
      <c r="AC532" s="1">
        <f>IF(C532="","",YEAR(C532))</f>
        <v>2025</v>
      </c>
      <c r="AD532" s="1" t="s">
        <v>45</v>
      </c>
      <c r="AE532" s="1" t="s">
        <v>46</v>
      </c>
      <c r="AF532" s="1" t="s">
        <v>47</v>
      </c>
    </row>
    <row r="533" spans="1:32" s="15" customFormat="1" x14ac:dyDescent="0.25">
      <c r="A533" s="16">
        <v>533</v>
      </c>
      <c r="B533" s="16" t="s">
        <v>1752</v>
      </c>
      <c r="C533" s="17">
        <v>45504.77083333333</v>
      </c>
      <c r="D533" s="17">
        <v>45511.77083333333</v>
      </c>
      <c r="E533" s="16" t="s">
        <v>1753</v>
      </c>
      <c r="F533" s="16" t="s">
        <v>186</v>
      </c>
      <c r="G533" s="16" t="s">
        <v>51</v>
      </c>
      <c r="H533" s="16" t="s">
        <v>80</v>
      </c>
      <c r="I533" s="16" t="s">
        <v>81</v>
      </c>
      <c r="J533" s="16" t="s">
        <v>82</v>
      </c>
      <c r="K533" s="16" t="s">
        <v>39</v>
      </c>
      <c r="L533" s="16" t="s">
        <v>145</v>
      </c>
      <c r="M533" s="16" t="s">
        <v>1754</v>
      </c>
      <c r="N533" s="16" t="s">
        <v>232</v>
      </c>
      <c r="O533" s="16">
        <v>1</v>
      </c>
      <c r="P533" s="18">
        <v>442.97</v>
      </c>
      <c r="Q533" s="19">
        <v>0.1</v>
      </c>
      <c r="R533" s="19">
        <v>0.1</v>
      </c>
      <c r="S533" s="18">
        <v>398.67</v>
      </c>
      <c r="T533" s="18">
        <v>311.66</v>
      </c>
      <c r="U533" s="18">
        <v>87.01</v>
      </c>
      <c r="V533" s="16" t="s">
        <v>43</v>
      </c>
      <c r="W533" s="16" t="s">
        <v>44</v>
      </c>
      <c r="X533" s="18">
        <f>IF(OR(O533="",P533="",R533=""),"",O533*P533*(1-R533))</f>
        <v>398.67</v>
      </c>
      <c r="Y533" s="18">
        <f>IF(OR(X533="",T533=""),"",X533-T533)</f>
        <v>87.01</v>
      </c>
      <c r="Z533" s="19">
        <f>IFERROR(Y533/X533,"")</f>
        <v>0.2183</v>
      </c>
      <c r="AA533" s="16">
        <f>IF(OR(C533="",D533=""),"",D533-C533)</f>
        <v>7</v>
      </c>
      <c r="AB533" s="16">
        <f>IF(C533="","",MONTH(C533))</f>
        <v>8</v>
      </c>
      <c r="AC533" s="16">
        <f>IF(C533="","",YEAR(C533))</f>
        <v>2024</v>
      </c>
      <c r="AD533" s="16" t="s">
        <v>86</v>
      </c>
      <c r="AE533" s="16" t="s">
        <v>46</v>
      </c>
      <c r="AF533" s="16" t="s">
        <v>442</v>
      </c>
    </row>
    <row r="534" spans="1:32" s="15" customFormat="1" x14ac:dyDescent="0.25">
      <c r="A534" s="16">
        <v>534</v>
      </c>
      <c r="B534" s="16" t="s">
        <v>1755</v>
      </c>
      <c r="C534" s="17">
        <v>45934.77083333333</v>
      </c>
      <c r="D534" s="17">
        <v>45939.77083333333</v>
      </c>
      <c r="E534" s="16" t="s">
        <v>1756</v>
      </c>
      <c r="F534" s="16" t="s">
        <v>135</v>
      </c>
      <c r="G534" s="16" t="s">
        <v>109</v>
      </c>
      <c r="H534" s="16" t="s">
        <v>52</v>
      </c>
      <c r="I534" s="16" t="s">
        <v>191</v>
      </c>
      <c r="J534" s="16" t="s">
        <v>192</v>
      </c>
      <c r="K534" s="16" t="s">
        <v>55</v>
      </c>
      <c r="L534" s="16" t="s">
        <v>56</v>
      </c>
      <c r="M534" s="16" t="s">
        <v>1757</v>
      </c>
      <c r="N534" s="16" t="s">
        <v>42</v>
      </c>
      <c r="O534" s="16">
        <v>9</v>
      </c>
      <c r="P534" s="18">
        <v>2089.14</v>
      </c>
      <c r="Q534" s="19">
        <v>0.05</v>
      </c>
      <c r="R534" s="19">
        <v>0.05</v>
      </c>
      <c r="S534" s="18">
        <v>17862.15</v>
      </c>
      <c r="T534" s="18">
        <v>9892.21</v>
      </c>
      <c r="U534" s="18">
        <v>7969.94</v>
      </c>
      <c r="V534" s="16" t="s">
        <v>178</v>
      </c>
      <c r="W534" s="16" t="s">
        <v>85</v>
      </c>
      <c r="X534" s="18">
        <f>IF(OR(O534="",P534="",R534=""),"",O534*P534*(1-R534))</f>
        <v>17862.15</v>
      </c>
      <c r="Y534" s="18">
        <f>IF(OR(X534="",T534=""),"",X534-T534)</f>
        <v>7969.94</v>
      </c>
      <c r="Z534" s="19">
        <f>IFERROR(Y534/X534,"")</f>
        <v>0.4462</v>
      </c>
      <c r="AA534" s="16">
        <f>IF(OR(C534="",D534=""),"",D534-C534)</f>
        <v>5</v>
      </c>
      <c r="AB534" s="16">
        <f>IF(C534="","",MONTH(C534))</f>
        <v>10</v>
      </c>
      <c r="AC534" s="16">
        <f>IF(C534="","",YEAR(C534))</f>
        <v>2025</v>
      </c>
      <c r="AD534" s="16" t="s">
        <v>86</v>
      </c>
      <c r="AE534" s="16" t="s">
        <v>66</v>
      </c>
      <c r="AF534" s="16" t="s">
        <v>296</v>
      </c>
    </row>
    <row r="535" spans="1:32" s="10" customFormat="1" x14ac:dyDescent="0.25">
      <c r="A535" s="11">
        <v>535</v>
      </c>
      <c r="B535" s="11" t="s">
        <v>1758</v>
      </c>
      <c r="C535" s="12">
        <v>45528.77083333333</v>
      </c>
      <c r="D535" s="12">
        <v>45535.77083333333</v>
      </c>
      <c r="E535" s="11" t="s">
        <v>1759</v>
      </c>
      <c r="F535" s="11" t="s">
        <v>61</v>
      </c>
      <c r="G535" s="11" t="s">
        <v>114</v>
      </c>
      <c r="H535" s="11" t="s">
        <v>36</v>
      </c>
      <c r="I535" s="11" t="s">
        <v>37</v>
      </c>
      <c r="J535" s="11" t="s">
        <v>38</v>
      </c>
      <c r="K535" s="11" t="s">
        <v>55</v>
      </c>
      <c r="L535" s="11" t="s">
        <v>56</v>
      </c>
      <c r="M535" s="11" t="s">
        <v>1760</v>
      </c>
      <c r="N535" s="11" t="s">
        <v>58</v>
      </c>
      <c r="O535" s="11">
        <v>6</v>
      </c>
      <c r="P535" s="13">
        <v>481.3</v>
      </c>
      <c r="Q535" s="14">
        <v>0.25</v>
      </c>
      <c r="R535" s="14">
        <v>0.25</v>
      </c>
      <c r="S535" s="13">
        <v>2165.85</v>
      </c>
      <c r="T535" s="13">
        <v>2124.48</v>
      </c>
      <c r="U535" s="13">
        <v>430.45</v>
      </c>
      <c r="V535" s="11" t="s">
        <v>43</v>
      </c>
      <c r="W535" s="11" t="s">
        <v>44</v>
      </c>
      <c r="X535" s="13">
        <f>IF(OR(O535="",P535="",R535=""),"",O535*P535*(1-R535))</f>
        <v>2165.85</v>
      </c>
      <c r="Y535" s="13">
        <f>IF(OR(X535="",T535=""),"",X535-T535)</f>
        <v>41.37</v>
      </c>
      <c r="Z535" s="14">
        <f>IFERROR(Y535/X535,"")</f>
        <v>0.0191</v>
      </c>
      <c r="AA535" s="11">
        <f>IF(OR(C535="",D535=""),"",D535-C535)</f>
        <v>7</v>
      </c>
      <c r="AB535" s="11">
        <f>IF(C535="","",MONTH(C535))</f>
        <v>8</v>
      </c>
      <c r="AC535" s="11">
        <f>IF(C535="","",YEAR(C535))</f>
        <v>2024</v>
      </c>
      <c r="AD535" s="11" t="s">
        <v>65</v>
      </c>
      <c r="AE535" s="11" t="s">
        <v>66</v>
      </c>
      <c r="AF535" s="11" t="s">
        <v>332</v>
      </c>
    </row>
    <row r="536" spans="1:32" s="15" customFormat="1" x14ac:dyDescent="0.25">
      <c r="A536" s="16">
        <v>536</v>
      </c>
      <c r="B536" s="16" t="s">
        <v>1761</v>
      </c>
      <c r="C536" s="17">
        <v>45773.77083333333</v>
      </c>
      <c r="D536" s="17">
        <v>45781.77083333333</v>
      </c>
      <c r="E536" s="16" t="s">
        <v>1762</v>
      </c>
      <c r="F536" s="16" t="s">
        <v>163</v>
      </c>
      <c r="G536" s="16" t="s">
        <v>114</v>
      </c>
      <c r="H536" s="16" t="s">
        <v>52</v>
      </c>
      <c r="I536" s="16" t="s">
        <v>168</v>
      </c>
      <c r="J536" s="16" t="s">
        <v>169</v>
      </c>
      <c r="K536" s="16" t="s">
        <v>93</v>
      </c>
      <c r="L536" s="16" t="s">
        <v>94</v>
      </c>
      <c r="M536" s="16" t="s">
        <v>1763</v>
      </c>
      <c r="N536" s="16" t="s">
        <v>42</v>
      </c>
      <c r="O536" s="16">
        <v>4</v>
      </c>
      <c r="P536" s="18">
        <v>3963.39</v>
      </c>
      <c r="Q536" s="19">
        <v>0.1</v>
      </c>
      <c r="R536" s="19">
        <v>0.1</v>
      </c>
      <c r="S536" s="18">
        <v>14268.2</v>
      </c>
      <c r="T536" s="18">
        <v>11705.3</v>
      </c>
      <c r="U536" s="18">
        <v>2562.9</v>
      </c>
      <c r="V536" s="16" t="s">
        <v>131</v>
      </c>
      <c r="W536" s="16" t="s">
        <v>122</v>
      </c>
      <c r="X536" s="18">
        <f>IF(OR(O536="",P536="",R536=""),"",O536*P536*(1-R536))</f>
        <v>14268.2</v>
      </c>
      <c r="Y536" s="18">
        <f>IF(OR(X536="",T536=""),"",X536-T536)</f>
        <v>2562.9</v>
      </c>
      <c r="Z536" s="19">
        <f>IFERROR(Y536/X536,"")</f>
        <v>0.1796</v>
      </c>
      <c r="AA536" s="16">
        <f>IF(OR(C536="",D536=""),"",D536-C536)</f>
        <v>8</v>
      </c>
      <c r="AB536" s="16">
        <f>IF(C536="","",MONTH(C536))</f>
        <v>4</v>
      </c>
      <c r="AC536" s="16">
        <f>IF(C536="","",YEAR(C536))</f>
        <v>2025</v>
      </c>
      <c r="AD536" s="16" t="s">
        <v>86</v>
      </c>
      <c r="AE536" s="16" t="s">
        <v>66</v>
      </c>
      <c r="AF536" s="16" t="s">
        <v>132</v>
      </c>
    </row>
    <row r="537" spans="1:32" x14ac:dyDescent="0.25">
      <c r="A537" s="1">
        <v>537</v>
      </c>
      <c r="B537" s="1" t="s">
        <v>1764</v>
      </c>
      <c r="C537" s="2">
        <v>45430.77083333333</v>
      </c>
      <c r="D537" s="2">
        <v>45432.77083333333</v>
      </c>
      <c r="E537" s="1" t="s">
        <v>1765</v>
      </c>
      <c r="F537" s="1" t="s">
        <v>186</v>
      </c>
      <c r="G537" s="1" t="s">
        <v>51</v>
      </c>
      <c r="H537" s="1" t="s">
        <v>80</v>
      </c>
      <c r="I537" s="1" t="s">
        <v>81</v>
      </c>
      <c r="J537" s="1" t="s">
        <v>82</v>
      </c>
      <c r="K537" s="1" t="s">
        <v>93</v>
      </c>
      <c r="L537" s="1" t="s">
        <v>99</v>
      </c>
      <c r="M537" s="1" t="s">
        <v>1766</v>
      </c>
      <c r="N537" s="1" t="s">
        <v>64</v>
      </c>
      <c r="O537" s="1">
        <v>3</v>
      </c>
      <c r="P537" s="3">
        <v>4000.98</v>
      </c>
      <c r="Q537" s="4">
        <v>0.2</v>
      </c>
      <c r="R537" s="4">
        <v>0.2</v>
      </c>
      <c r="S537" s="3">
        <v>9602.35</v>
      </c>
      <c r="T537" s="3">
        <v>7387.57</v>
      </c>
      <c r="U537" s="3">
        <v>2214.78</v>
      </c>
      <c r="V537" s="1" t="s">
        <v>43</v>
      </c>
      <c r="W537" s="1" t="s">
        <v>44</v>
      </c>
      <c r="X537" s="3">
        <f>IF(OR(O537="",P537="",R537=""),"",O537*P537*(1-R537))</f>
        <v>9602.35</v>
      </c>
      <c r="Y537" s="3">
        <f>IF(OR(X537="",T537=""),"",X537-T537)</f>
        <v>2214.78</v>
      </c>
      <c r="Z537" s="4">
        <f>IFERROR(Y537/X537,"")</f>
        <v>0.2306</v>
      </c>
      <c r="AA537" s="1">
        <f>IF(OR(C537="",D537=""),"",D537-C537)</f>
        <v>2</v>
      </c>
      <c r="AB537" s="1">
        <f>IF(C537="","",MONTH(C537))</f>
        <v>5</v>
      </c>
      <c r="AC537" s="1">
        <f>IF(C537="","",YEAR(C537))</f>
        <v>2024</v>
      </c>
      <c r="AD537" s="1" t="s">
        <v>45</v>
      </c>
      <c r="AE537" s="1" t="s">
        <v>46</v>
      </c>
      <c r="AF537" s="1" t="s">
        <v>47</v>
      </c>
    </row>
    <row r="538" spans="1:32" s="15" customFormat="1" x14ac:dyDescent="0.25">
      <c r="A538" s="16">
        <v>538</v>
      </c>
      <c r="B538" s="16" t="s">
        <v>1767</v>
      </c>
      <c r="C538" s="17">
        <v>45756.77083333333</v>
      </c>
      <c r="D538" s="17">
        <v>45763.77083333333</v>
      </c>
      <c r="E538" s="16" t="s">
        <v>1768</v>
      </c>
      <c r="F538" s="16" t="s">
        <v>79</v>
      </c>
      <c r="G538" s="16" t="s">
        <v>51</v>
      </c>
      <c r="H538" s="16" t="s">
        <v>80</v>
      </c>
      <c r="I538" s="16" t="s">
        <v>37</v>
      </c>
      <c r="J538" s="16" t="s">
        <v>129</v>
      </c>
      <c r="K538" s="16" t="s">
        <v>55</v>
      </c>
      <c r="L538" s="16" t="s">
        <v>83</v>
      </c>
      <c r="M538" s="16" t="s">
        <v>1769</v>
      </c>
      <c r="N538" s="16" t="s">
        <v>64</v>
      </c>
      <c r="O538" s="16">
        <v>7</v>
      </c>
      <c r="P538" s="18">
        <v>3788.9</v>
      </c>
      <c r="Q538" s="19">
        <v>0.25</v>
      </c>
      <c r="R538" s="19">
        <v>0.25</v>
      </c>
      <c r="S538" s="18">
        <v>19891.72</v>
      </c>
      <c r="T538" s="18">
        <v>12295.76</v>
      </c>
      <c r="U538" s="18">
        <v>7595.96</v>
      </c>
      <c r="V538" s="16" t="s">
        <v>178</v>
      </c>
      <c r="W538" s="16" t="s">
        <v>85</v>
      </c>
      <c r="X538" s="18">
        <f>IF(OR(O538="",P538="",R538=""),"",O538*P538*(1-R538))</f>
        <v>19891.72</v>
      </c>
      <c r="Y538" s="18">
        <f>IF(OR(X538="",T538=""),"",X538-T538)</f>
        <v>7595.96</v>
      </c>
      <c r="Z538" s="19">
        <f>IFERROR(Y538/X538,"")</f>
        <v>0.3819</v>
      </c>
      <c r="AA538" s="16">
        <f>IF(OR(C538="",D538=""),"",D538-C538)</f>
        <v>7</v>
      </c>
      <c r="AB538" s="16">
        <f>IF(C538="","",MONTH(C538))</f>
        <v>4</v>
      </c>
      <c r="AC538" s="16">
        <f>IF(C538="","",YEAR(C538))</f>
        <v>2025</v>
      </c>
      <c r="AD538" s="16" t="s">
        <v>86</v>
      </c>
      <c r="AE538" s="16" t="s">
        <v>66</v>
      </c>
      <c r="AF538" s="16" t="s">
        <v>296</v>
      </c>
    </row>
    <row r="539" spans="1:32" s="15" customFormat="1" x14ac:dyDescent="0.25">
      <c r="A539" s="16">
        <v>539</v>
      </c>
      <c r="B539" s="16" t="s">
        <v>1770</v>
      </c>
      <c r="C539" s="17">
        <v>45312.77083333333</v>
      </c>
      <c r="D539" s="17">
        <v>45320.77083333333</v>
      </c>
      <c r="E539" s="16" t="s">
        <v>1771</v>
      </c>
      <c r="F539" s="16" t="s">
        <v>79</v>
      </c>
      <c r="G539" s="16" t="s">
        <v>51</v>
      </c>
      <c r="H539" s="16" t="s">
        <v>36</v>
      </c>
      <c r="I539" s="16" t="s">
        <v>266</v>
      </c>
      <c r="J539" s="16" t="s">
        <v>267</v>
      </c>
      <c r="K539" s="16" t="s">
        <v>39</v>
      </c>
      <c r="L539" s="16" t="s">
        <v>62</v>
      </c>
      <c r="M539" s="16" t="s">
        <v>1772</v>
      </c>
      <c r="N539" s="16" t="s">
        <v>58</v>
      </c>
      <c r="O539" s="16">
        <v>3</v>
      </c>
      <c r="P539" s="18">
        <v>676.37</v>
      </c>
      <c r="Q539" s="19">
        <v>0.05</v>
      </c>
      <c r="R539" s="19">
        <v>0.05</v>
      </c>
      <c r="S539" s="18">
        <v>1927.65</v>
      </c>
      <c r="T539" s="18">
        <v>1460.6</v>
      </c>
      <c r="U539" s="18">
        <v>467.05</v>
      </c>
      <c r="V539" s="16" t="s">
        <v>178</v>
      </c>
      <c r="W539" s="16" t="s">
        <v>85</v>
      </c>
      <c r="X539" s="18">
        <f>IF(OR(O539="",P539="",R539=""),"",O539*P539*(1-R539))</f>
        <v>1927.65</v>
      </c>
      <c r="Y539" s="18">
        <f>IF(OR(X539="",T539=""),"",X539-T539)</f>
        <v>467.05</v>
      </c>
      <c r="Z539" s="19">
        <f>IFERROR(Y539/X539,"")</f>
        <v>0.2423</v>
      </c>
      <c r="AA539" s="16">
        <f>IF(OR(C539="",D539=""),"",D539-C539)</f>
        <v>8</v>
      </c>
      <c r="AB539" s="16">
        <f>IF(C539="","",MONTH(C539))</f>
        <v>1</v>
      </c>
      <c r="AC539" s="16">
        <f>IF(C539="","",YEAR(C539))</f>
        <v>2024</v>
      </c>
      <c r="AD539" s="16" t="s">
        <v>86</v>
      </c>
      <c r="AE539" s="16" t="s">
        <v>66</v>
      </c>
      <c r="AF539" s="16" t="s">
        <v>296</v>
      </c>
    </row>
    <row r="540" spans="1:32" x14ac:dyDescent="0.25">
      <c r="A540" s="1">
        <v>540</v>
      </c>
      <c r="B540" s="1" t="s">
        <v>1773</v>
      </c>
      <c r="C540" s="2">
        <v>45559.77083333333</v>
      </c>
      <c r="D540" s="2">
        <v>45565.77083333333</v>
      </c>
      <c r="E540" s="1" t="s">
        <v>1774</v>
      </c>
      <c r="F540" s="1" t="s">
        <v>186</v>
      </c>
      <c r="G540" s="1" t="s">
        <v>51</v>
      </c>
      <c r="H540" s="1" t="s">
        <v>52</v>
      </c>
      <c r="I540" s="1" t="s">
        <v>258</v>
      </c>
      <c r="J540" s="1" t="s">
        <v>259</v>
      </c>
      <c r="K540" s="1" t="s">
        <v>55</v>
      </c>
      <c r="L540" s="1" t="s">
        <v>56</v>
      </c>
      <c r="M540" s="1" t="s">
        <v>1775</v>
      </c>
      <c r="N540" s="1" t="s">
        <v>42</v>
      </c>
      <c r="O540" s="1">
        <v>9</v>
      </c>
      <c r="P540" s="3">
        <v>3908.6</v>
      </c>
      <c r="Q540" s="4">
        <v>0.15</v>
      </c>
      <c r="R540" s="4">
        <v>0.15</v>
      </c>
      <c r="S540" s="3">
        <v>29900.79</v>
      </c>
      <c r="T540" s="3">
        <v>24650.67</v>
      </c>
      <c r="U540" s="3">
        <v>5250.12</v>
      </c>
      <c r="V540" s="1" t="s">
        <v>43</v>
      </c>
      <c r="W540" s="1" t="s">
        <v>44</v>
      </c>
      <c r="X540" s="3">
        <f>IF(OR(O540="",P540="",R540=""),"",O540*P540*(1-R540))</f>
        <v>29900.79</v>
      </c>
      <c r="Y540" s="3">
        <f>IF(OR(X540="",T540=""),"",X540-T540)</f>
        <v>5250.12</v>
      </c>
      <c r="Z540" s="4">
        <f>IFERROR(Y540/X540,"")</f>
        <v>0.1756</v>
      </c>
      <c r="AA540" s="1">
        <f>IF(OR(C540="",D540=""),"",D540-C540)</f>
        <v>6</v>
      </c>
      <c r="AB540" s="1">
        <f>IF(C540="","",MONTH(C540))</f>
        <v>9</v>
      </c>
      <c r="AC540" s="1">
        <f>IF(C540="","",YEAR(C540))</f>
        <v>2024</v>
      </c>
      <c r="AD540" s="1" t="s">
        <v>45</v>
      </c>
      <c r="AE540" s="1" t="s">
        <v>46</v>
      </c>
      <c r="AF540" s="1" t="s">
        <v>47</v>
      </c>
    </row>
    <row r="541" spans="1:32" s="15" customFormat="1" x14ac:dyDescent="0.25">
      <c r="A541" s="16">
        <v>541</v>
      </c>
      <c r="B541" s="16" t="s">
        <v>1776</v>
      </c>
      <c r="C541" s="17">
        <v>45841.77083333333</v>
      </c>
      <c r="D541" s="17">
        <v>45841.77083333333</v>
      </c>
      <c r="E541" s="16" t="s">
        <v>1777</v>
      </c>
      <c r="F541" s="16" t="s">
        <v>50</v>
      </c>
      <c r="G541" s="16" t="s">
        <v>51</v>
      </c>
      <c r="H541" s="16" t="s">
        <v>71</v>
      </c>
      <c r="I541" s="16" t="s">
        <v>277</v>
      </c>
      <c r="J541" s="16" t="s">
        <v>278</v>
      </c>
      <c r="K541" s="16" t="s">
        <v>55</v>
      </c>
      <c r="L541" s="16" t="s">
        <v>83</v>
      </c>
      <c r="M541" s="16" t="s">
        <v>1778</v>
      </c>
      <c r="N541" s="16" t="s">
        <v>76</v>
      </c>
      <c r="O541" s="16">
        <v>3</v>
      </c>
      <c r="P541" s="18">
        <v>705.35</v>
      </c>
      <c r="Q541" s="19">
        <v>0.1</v>
      </c>
      <c r="R541" s="19">
        <v>0.1</v>
      </c>
      <c r="S541" s="18">
        <v>1904.45</v>
      </c>
      <c r="T541" s="18">
        <v>1316.54</v>
      </c>
      <c r="U541" s="18">
        <v>587.91</v>
      </c>
      <c r="V541" s="16" t="s">
        <v>43</v>
      </c>
      <c r="W541" s="16" t="s">
        <v>85</v>
      </c>
      <c r="X541" s="18">
        <f>IF(OR(O541="",P541="",R541=""),"",O541*P541*(1-R541))</f>
        <v>1904.45</v>
      </c>
      <c r="Y541" s="18">
        <f>IF(OR(X541="",T541=""),"",X541-T541)</f>
        <v>587.91</v>
      </c>
      <c r="Z541" s="19">
        <f>IFERROR(Y541/X541,"")</f>
        <v>0.3087</v>
      </c>
      <c r="AA541" s="16">
        <f>IF(OR(C541="",D541=""),"",D541-C541)</f>
        <v>0</v>
      </c>
      <c r="AB541" s="16">
        <f>IF(C541="","",MONTH(C541))</f>
        <v>7</v>
      </c>
      <c r="AC541" s="16">
        <f>IF(C541="","",YEAR(C541))</f>
        <v>2025</v>
      </c>
      <c r="AD541" s="16" t="s">
        <v>86</v>
      </c>
      <c r="AE541" s="16" t="s">
        <v>66</v>
      </c>
      <c r="AF541" s="16" t="s">
        <v>87</v>
      </c>
    </row>
    <row r="542" spans="1:32" s="10" customFormat="1" x14ac:dyDescent="0.25">
      <c r="A542" s="11">
        <v>542</v>
      </c>
      <c r="B542" s="11" t="s">
        <v>1779</v>
      </c>
      <c r="C542" s="12">
        <v>45347.77083333333</v>
      </c>
      <c r="D542" s="12">
        <v>45344.77083333333</v>
      </c>
      <c r="E542" s="11" t="s">
        <v>1780</v>
      </c>
      <c r="F542" s="11" t="s">
        <v>294</v>
      </c>
      <c r="G542" s="11" t="s">
        <v>35</v>
      </c>
      <c r="H542" s="11" t="s">
        <v>80</v>
      </c>
      <c r="I542" s="11" t="s">
        <v>206</v>
      </c>
      <c r="J542" s="11" t="s">
        <v>207</v>
      </c>
      <c r="K542" s="11" t="s">
        <v>55</v>
      </c>
      <c r="L542" s="11" t="s">
        <v>74</v>
      </c>
      <c r="M542" s="11" t="s">
        <v>1781</v>
      </c>
      <c r="N542" s="11" t="s">
        <v>76</v>
      </c>
      <c r="O542" s="11">
        <v>7</v>
      </c>
      <c r="P542" s="13">
        <v>3852.07</v>
      </c>
      <c r="Q542" s="14">
        <v>0.2</v>
      </c>
      <c r="R542" s="14">
        <v>0.2</v>
      </c>
      <c r="S542" s="13">
        <v>21571.59</v>
      </c>
      <c r="T542" s="13">
        <v>17118.07</v>
      </c>
      <c r="U542" s="13">
        <v>4453.52</v>
      </c>
      <c r="V542" s="11" t="s">
        <v>43</v>
      </c>
      <c r="W542" s="11" t="s">
        <v>44</v>
      </c>
      <c r="X542" s="13">
        <f>IF(OR(O542="",P542="",R542=""),"",O542*P542*(1-R542))</f>
        <v>21571.59</v>
      </c>
      <c r="Y542" s="13">
        <f>IF(OR(X542="",T542=""),"",X542-T542)</f>
        <v>4453.52</v>
      </c>
      <c r="Z542" s="14">
        <f>IFERROR(Y542/X542,"")</f>
        <v>0.2065</v>
      </c>
      <c r="AA542" s="11">
        <f>IF(OR(C542="",D542=""),"",D542-C542)</f>
        <v>-3</v>
      </c>
      <c r="AB542" s="11">
        <f>IF(C542="","",MONTH(C542))</f>
        <v>2</v>
      </c>
      <c r="AC542" s="11">
        <f>IF(C542="","",YEAR(C542))</f>
        <v>2024</v>
      </c>
      <c r="AD542" s="11" t="s">
        <v>65</v>
      </c>
      <c r="AE542" s="11" t="s">
        <v>66</v>
      </c>
      <c r="AF542" s="11" t="s">
        <v>360</v>
      </c>
    </row>
    <row r="543" spans="1:32" s="15" customFormat="1" x14ac:dyDescent="0.25">
      <c r="A543" s="16">
        <v>543</v>
      </c>
      <c r="B543" s="16" t="s">
        <v>1782</v>
      </c>
      <c r="C543" s="17">
        <v>45845.77083333333</v>
      </c>
      <c r="D543" s="17">
        <v>45846.77083333333</v>
      </c>
      <c r="E543" s="16" t="s">
        <v>1783</v>
      </c>
      <c r="F543" s="16" t="s">
        <v>153</v>
      </c>
      <c r="G543" s="16" t="s">
        <v>35</v>
      </c>
      <c r="H543" s="16" t="s">
        <v>80</v>
      </c>
      <c r="I543" s="16" t="s">
        <v>81</v>
      </c>
      <c r="J543" s="16" t="s">
        <v>82</v>
      </c>
      <c r="K543" s="16" t="s">
        <v>93</v>
      </c>
      <c r="L543" s="16" t="s">
        <v>99</v>
      </c>
      <c r="M543" s="16" t="s">
        <v>1784</v>
      </c>
      <c r="N543" s="16" t="s">
        <v>58</v>
      </c>
      <c r="O543" s="16">
        <v>3</v>
      </c>
      <c r="P543" s="18">
        <v>2880.56</v>
      </c>
      <c r="Q543" s="19">
        <v>0</v>
      </c>
      <c r="R543" s="19">
        <v>0</v>
      </c>
      <c r="S543" s="18">
        <v>8641.68</v>
      </c>
      <c r="T543" s="18">
        <v>5747.09</v>
      </c>
      <c r="U543" s="18">
        <v>2894.59</v>
      </c>
      <c r="V543" s="16" t="s">
        <v>43</v>
      </c>
      <c r="W543" s="16" t="s">
        <v>122</v>
      </c>
      <c r="X543" s="18">
        <f>IF(OR(O543="",P543="",R543=""),"",O543*P543*(1-R543))</f>
        <v>8641.68</v>
      </c>
      <c r="Y543" s="18">
        <f>IF(OR(X543="",T543=""),"",X543-T543)</f>
        <v>2894.59</v>
      </c>
      <c r="Z543" s="19">
        <f>IFERROR(Y543/X543,"")</f>
        <v>0.335</v>
      </c>
      <c r="AA543" s="16">
        <f>IF(OR(C543="",D543=""),"",D543-C543)</f>
        <v>1</v>
      </c>
      <c r="AB543" s="16">
        <f>IF(C543="","",MONTH(C543))</f>
        <v>7</v>
      </c>
      <c r="AC543" s="16">
        <f>IF(C543="","",YEAR(C543))</f>
        <v>2025</v>
      </c>
      <c r="AD543" s="16" t="s">
        <v>86</v>
      </c>
      <c r="AE543" s="16" t="s">
        <v>66</v>
      </c>
      <c r="AF543" s="16" t="s">
        <v>198</v>
      </c>
    </row>
    <row r="544" spans="1:32" s="10" customFormat="1" x14ac:dyDescent="0.25">
      <c r="A544" s="11">
        <v>544</v>
      </c>
      <c r="B544" s="11" t="s">
        <v>1785</v>
      </c>
      <c r="C544" s="12">
        <v>45551.77083333333</v>
      </c>
      <c r="D544" s="12">
        <v>45557.77083333333</v>
      </c>
      <c r="E544" s="11" t="s">
        <v>1786</v>
      </c>
      <c r="F544" s="11" t="s">
        <v>139</v>
      </c>
      <c r="G544" s="11" t="s">
        <v>114</v>
      </c>
      <c r="H544" s="11" t="s">
        <v>71</v>
      </c>
      <c r="I544" s="11" t="s">
        <v>211</v>
      </c>
      <c r="J544" s="11" t="s">
        <v>212</v>
      </c>
      <c r="K544" s="11" t="s">
        <v>55</v>
      </c>
      <c r="L544" s="11" t="s">
        <v>182</v>
      </c>
      <c r="M544" s="11" t="s">
        <v>1787</v>
      </c>
      <c r="N544" s="11" t="s">
        <v>42</v>
      </c>
      <c r="O544" s="11">
        <v>3</v>
      </c>
      <c r="P544" s="13">
        <v>4067.62</v>
      </c>
      <c r="Q544" s="14">
        <v>0.2</v>
      </c>
      <c r="R544" s="14">
        <v>0.2</v>
      </c>
      <c r="S544" s="13">
        <v>9988.53</v>
      </c>
      <c r="T544" s="13">
        <v>8368.24</v>
      </c>
      <c r="U544" s="13">
        <v>1394.05</v>
      </c>
      <c r="V544" s="11" t="s">
        <v>43</v>
      </c>
      <c r="W544" s="11" t="s">
        <v>85</v>
      </c>
      <c r="X544" s="13">
        <f>IF(OR(O544="",P544="",R544=""),"",O544*P544*(1-R544))</f>
        <v>9762.29</v>
      </c>
      <c r="Y544" s="13">
        <f>IF(OR(X544="",T544=""),"",X544-T544)</f>
        <v>1394.05</v>
      </c>
      <c r="Z544" s="14">
        <f>IFERROR(Y544/X544,"")</f>
        <v>0.1428</v>
      </c>
      <c r="AA544" s="11">
        <f>IF(OR(C544="",D544=""),"",D544-C544)</f>
        <v>6</v>
      </c>
      <c r="AB544" s="11">
        <f>IF(C544="","",MONTH(C544))</f>
        <v>9</v>
      </c>
      <c r="AC544" s="11">
        <f>IF(C544="","",YEAR(C544))</f>
        <v>2024</v>
      </c>
      <c r="AD544" s="11" t="s">
        <v>65</v>
      </c>
      <c r="AE544" s="11" t="s">
        <v>66</v>
      </c>
      <c r="AF544" s="11" t="s">
        <v>461</v>
      </c>
    </row>
    <row r="545" spans="1:32" x14ac:dyDescent="0.25">
      <c r="A545" s="1">
        <v>545</v>
      </c>
      <c r="B545" s="1" t="s">
        <v>1788</v>
      </c>
      <c r="C545" s="2">
        <v>45486.77083333333</v>
      </c>
      <c r="D545" s="2">
        <v>45492.77083333333</v>
      </c>
      <c r="E545" s="1" t="s">
        <v>1789</v>
      </c>
      <c r="F545" s="1" t="s">
        <v>50</v>
      </c>
      <c r="G545" s="1" t="s">
        <v>35</v>
      </c>
      <c r="H545" s="1" t="s">
        <v>52</v>
      </c>
      <c r="I545" s="1" t="s">
        <v>168</v>
      </c>
      <c r="J545" s="1" t="s">
        <v>169</v>
      </c>
      <c r="K545" s="1" t="s">
        <v>93</v>
      </c>
      <c r="L545" s="1" t="s">
        <v>99</v>
      </c>
      <c r="M545" s="1" t="s">
        <v>1790</v>
      </c>
      <c r="N545" s="1" t="s">
        <v>58</v>
      </c>
      <c r="O545" s="1">
        <v>1</v>
      </c>
      <c r="P545" s="3">
        <v>492.67</v>
      </c>
      <c r="Q545" s="4">
        <v>0.15</v>
      </c>
      <c r="R545" s="4">
        <v>0.15</v>
      </c>
      <c r="S545" s="3">
        <v>418.77</v>
      </c>
      <c r="T545" s="3">
        <v>313.72</v>
      </c>
      <c r="U545" s="3">
        <v>105.05</v>
      </c>
      <c r="V545" s="1" t="s">
        <v>43</v>
      </c>
      <c r="W545" s="1" t="s">
        <v>44</v>
      </c>
      <c r="X545" s="3">
        <f>IF(OR(O545="",P545="",R545=""),"",O545*P545*(1-R545))</f>
        <v>418.77</v>
      </c>
      <c r="Y545" s="3">
        <f>IF(OR(X545="",T545=""),"",X545-T545)</f>
        <v>105.05</v>
      </c>
      <c r="Z545" s="4">
        <f>IFERROR(Y545/X545,"")</f>
        <v>0.2509</v>
      </c>
      <c r="AA545" s="1">
        <f>IF(OR(C545="",D545=""),"",D545-C545)</f>
        <v>6</v>
      </c>
      <c r="AB545" s="1">
        <f>IF(C545="","",MONTH(C545))</f>
        <v>7</v>
      </c>
      <c r="AC545" s="1">
        <f>IF(C545="","",YEAR(C545))</f>
        <v>2024</v>
      </c>
      <c r="AD545" s="1" t="s">
        <v>45</v>
      </c>
      <c r="AE545" s="1" t="s">
        <v>46</v>
      </c>
      <c r="AF545" s="1" t="s">
        <v>47</v>
      </c>
    </row>
    <row r="546" spans="1:32" s="15" customFormat="1" x14ac:dyDescent="0.25">
      <c r="A546" s="16">
        <v>546</v>
      </c>
      <c r="B546" s="16" t="s">
        <v>1791</v>
      </c>
      <c r="C546" s="17">
        <v>45685.77083333333</v>
      </c>
      <c r="D546" s="17">
        <v>45692.77083333333</v>
      </c>
      <c r="E546" s="16" t="s">
        <v>1792</v>
      </c>
      <c r="F546" s="16" t="s">
        <v>79</v>
      </c>
      <c r="G546" s="16" t="s">
        <v>35</v>
      </c>
      <c r="H546" s="16" t="s">
        <v>71</v>
      </c>
      <c r="I546" s="16" t="s">
        <v>211</v>
      </c>
      <c r="J546" s="16" t="s">
        <v>212</v>
      </c>
      <c r="K546" s="16" t="s">
        <v>39</v>
      </c>
      <c r="L546" s="16" t="s">
        <v>62</v>
      </c>
      <c r="M546" s="16" t="s">
        <v>1793</v>
      </c>
      <c r="N546" s="16" t="s">
        <v>58</v>
      </c>
      <c r="O546" s="16">
        <v>8</v>
      </c>
      <c r="P546" s="18">
        <v>3643.62</v>
      </c>
      <c r="Q546" s="19">
        <v>0.25</v>
      </c>
      <c r="R546" s="19">
        <v>0.25</v>
      </c>
      <c r="S546" s="18">
        <v>21861.72</v>
      </c>
      <c r="T546" s="18">
        <v>18464.34</v>
      </c>
      <c r="U546" s="18">
        <v>3397.38</v>
      </c>
      <c r="V546" s="16" t="s">
        <v>43</v>
      </c>
      <c r="W546" s="16" t="s">
        <v>85</v>
      </c>
      <c r="X546" s="18">
        <f>IF(OR(O546="",P546="",R546=""),"",O546*P546*(1-R546))</f>
        <v>21861.72</v>
      </c>
      <c r="Y546" s="18">
        <f>IF(OR(X546="",T546=""),"",X546-T546)</f>
        <v>3397.38</v>
      </c>
      <c r="Z546" s="19">
        <f>IFERROR(Y546/X546,"")</f>
        <v>0.1554</v>
      </c>
      <c r="AA546" s="16">
        <f>IF(OR(C546="",D546=""),"",D546-C546)</f>
        <v>7</v>
      </c>
      <c r="AB546" s="16">
        <f>IF(C546="","",MONTH(C546))</f>
        <v>1</v>
      </c>
      <c r="AC546" s="16">
        <f>IF(C546="","",YEAR(C546))</f>
        <v>2025</v>
      </c>
      <c r="AD546" s="16" t="s">
        <v>86</v>
      </c>
      <c r="AE546" s="16" t="s">
        <v>66</v>
      </c>
      <c r="AF546" s="16" t="s">
        <v>87</v>
      </c>
    </row>
    <row r="547" spans="1:32" x14ac:dyDescent="0.25">
      <c r="A547" s="1">
        <v>547</v>
      </c>
      <c r="B547" s="1" t="s">
        <v>1794</v>
      </c>
      <c r="C547" s="2">
        <v>45438.77083333333</v>
      </c>
      <c r="D547" s="2">
        <v>45441.77083333333</v>
      </c>
      <c r="E547" s="1" t="s">
        <v>1795</v>
      </c>
      <c r="F547" s="1" t="s">
        <v>294</v>
      </c>
      <c r="G547" s="1" t="s">
        <v>51</v>
      </c>
      <c r="H547" s="1" t="s">
        <v>52</v>
      </c>
      <c r="I547" s="1" t="s">
        <v>258</v>
      </c>
      <c r="J547" s="1" t="s">
        <v>259</v>
      </c>
      <c r="K547" s="1" t="s">
        <v>39</v>
      </c>
      <c r="L547" s="1" t="s">
        <v>145</v>
      </c>
      <c r="M547" s="1" t="s">
        <v>1796</v>
      </c>
      <c r="N547" s="1" t="s">
        <v>58</v>
      </c>
      <c r="O547" s="1">
        <v>7</v>
      </c>
      <c r="P547" s="3">
        <v>2900.86</v>
      </c>
      <c r="Q547" s="4">
        <v>0.15</v>
      </c>
      <c r="R547" s="4">
        <v>0.15</v>
      </c>
      <c r="S547" s="3">
        <v>17260.12</v>
      </c>
      <c r="T547" s="3">
        <v>13513.51</v>
      </c>
      <c r="U547" s="3">
        <v>3746.61</v>
      </c>
      <c r="V547" s="1" t="s">
        <v>43</v>
      </c>
      <c r="W547" s="1" t="s">
        <v>44</v>
      </c>
      <c r="X547" s="3">
        <f>IF(OR(O547="",P547="",R547=""),"",O547*P547*(1-R547))</f>
        <v>17260.12</v>
      </c>
      <c r="Y547" s="3">
        <f>IF(OR(X547="",T547=""),"",X547-T547)</f>
        <v>3746.61</v>
      </c>
      <c r="Z547" s="4">
        <f>IFERROR(Y547/X547,"")</f>
        <v>0.2171</v>
      </c>
      <c r="AA547" s="1">
        <f>IF(OR(C547="",D547=""),"",D547-C547)</f>
        <v>3</v>
      </c>
      <c r="AB547" s="1">
        <f>IF(C547="","",MONTH(C547))</f>
        <v>5</v>
      </c>
      <c r="AC547" s="1">
        <f>IF(C547="","",YEAR(C547))</f>
        <v>2024</v>
      </c>
      <c r="AD547" s="1" t="s">
        <v>45</v>
      </c>
      <c r="AE547" s="1" t="s">
        <v>46</v>
      </c>
      <c r="AF547" s="1" t="s">
        <v>47</v>
      </c>
    </row>
    <row r="548" spans="1:32" s="10" customFormat="1" x14ac:dyDescent="0.25">
      <c r="A548" s="11">
        <v>548</v>
      </c>
      <c r="B548" s="11" t="s">
        <v>1797</v>
      </c>
      <c r="C548" s="12">
        <v>45882.77083333333</v>
      </c>
      <c r="D548" s="12">
        <v>45890.77083333333</v>
      </c>
      <c r="E548" s="11" t="s">
        <v>1798</v>
      </c>
      <c r="F548" s="11" t="s">
        <v>70</v>
      </c>
      <c r="G548" s="11" t="s">
        <v>109</v>
      </c>
      <c r="H548" s="11" t="s">
        <v>80</v>
      </c>
      <c r="I548" s="11" t="s">
        <v>206</v>
      </c>
      <c r="J548" s="11" t="s">
        <v>207</v>
      </c>
      <c r="K548" s="11" t="s">
        <v>39</v>
      </c>
      <c r="L548" s="11" t="s">
        <v>40</v>
      </c>
      <c r="M548" s="11" t="s">
        <v>1799</v>
      </c>
      <c r="N548" s="11" t="s">
        <v>64</v>
      </c>
      <c r="O548" s="11">
        <v>5</v>
      </c>
      <c r="P548" s="13">
        <v>2567.37</v>
      </c>
      <c r="Q548" s="14">
        <v>0.15</v>
      </c>
      <c r="R548" s="14">
        <v>0.15</v>
      </c>
      <c r="S548" s="13">
        <v>10911.32</v>
      </c>
      <c r="T548" s="13">
        <v>6966.44</v>
      </c>
      <c r="U548" s="13">
        <v>4395.17</v>
      </c>
      <c r="V548" s="11" t="s">
        <v>43</v>
      </c>
      <c r="W548" s="11" t="s">
        <v>44</v>
      </c>
      <c r="X548" s="13">
        <f>IF(OR(O548="",P548="",R548=""),"",O548*P548*(1-R548))</f>
        <v>10911.32</v>
      </c>
      <c r="Y548" s="13">
        <f>IF(OR(X548="",T548=""),"",X548-T548)</f>
        <v>3944.88</v>
      </c>
      <c r="Z548" s="14">
        <f>IFERROR(Y548/X548,"")</f>
        <v>0.3615</v>
      </c>
      <c r="AA548" s="11">
        <f>IF(OR(C548="",D548=""),"",D548-C548)</f>
        <v>8</v>
      </c>
      <c r="AB548" s="11">
        <f>IF(C548="","",MONTH(C548))</f>
        <v>8</v>
      </c>
      <c r="AC548" s="11">
        <f>IF(C548="","",YEAR(C548))</f>
        <v>2025</v>
      </c>
      <c r="AD548" s="11" t="s">
        <v>65</v>
      </c>
      <c r="AE548" s="11" t="s">
        <v>66</v>
      </c>
      <c r="AF548" s="11" t="s">
        <v>332</v>
      </c>
    </row>
    <row r="549" spans="1:32" x14ac:dyDescent="0.25">
      <c r="A549" s="1">
        <v>549</v>
      </c>
      <c r="B549" s="1" t="s">
        <v>1800</v>
      </c>
      <c r="C549" s="2">
        <v>45427.77083333333</v>
      </c>
      <c r="D549" s="2">
        <v>45434.77083333333</v>
      </c>
      <c r="E549" s="1" t="s">
        <v>1801</v>
      </c>
      <c r="F549" s="1" t="s">
        <v>98</v>
      </c>
      <c r="G549" s="1" t="s">
        <v>51</v>
      </c>
      <c r="H549" s="1" t="s">
        <v>36</v>
      </c>
      <c r="I549" s="1" t="s">
        <v>157</v>
      </c>
      <c r="J549" s="1" t="s">
        <v>158</v>
      </c>
      <c r="K549" s="1" t="s">
        <v>93</v>
      </c>
      <c r="L549" s="1" t="s">
        <v>99</v>
      </c>
      <c r="M549" s="1" t="s">
        <v>1802</v>
      </c>
      <c r="N549" s="1" t="s">
        <v>76</v>
      </c>
      <c r="O549" s="1">
        <v>9</v>
      </c>
      <c r="P549" s="3">
        <v>3722.09</v>
      </c>
      <c r="Q549" s="4">
        <v>0.1</v>
      </c>
      <c r="R549" s="4">
        <v>0.1</v>
      </c>
      <c r="S549" s="3">
        <v>30148.93</v>
      </c>
      <c r="T549" s="3">
        <v>25155.07</v>
      </c>
      <c r="U549" s="3">
        <v>4993.86</v>
      </c>
      <c r="V549" s="1" t="s">
        <v>43</v>
      </c>
      <c r="W549" s="1" t="s">
        <v>44</v>
      </c>
      <c r="X549" s="3">
        <f>IF(OR(O549="",P549="",R549=""),"",O549*P549*(1-R549))</f>
        <v>30148.93</v>
      </c>
      <c r="Y549" s="3">
        <f>IF(OR(X549="",T549=""),"",X549-T549)</f>
        <v>4993.86</v>
      </c>
      <c r="Z549" s="4">
        <f>IFERROR(Y549/X549,"")</f>
        <v>0.1656</v>
      </c>
      <c r="AA549" s="1">
        <f>IF(OR(C549="",D549=""),"",D549-C549)</f>
        <v>7</v>
      </c>
      <c r="AB549" s="1">
        <f>IF(C549="","",MONTH(C549))</f>
        <v>5</v>
      </c>
      <c r="AC549" s="1">
        <f>IF(C549="","",YEAR(C549))</f>
        <v>2024</v>
      </c>
      <c r="AD549" s="1" t="s">
        <v>45</v>
      </c>
      <c r="AE549" s="1" t="s">
        <v>46</v>
      </c>
      <c r="AF549" s="1" t="s">
        <v>47</v>
      </c>
    </row>
    <row r="550" spans="1:32" s="15" customFormat="1" x14ac:dyDescent="0.25">
      <c r="A550" s="16">
        <v>550</v>
      </c>
      <c r="B550" s="16" t="s">
        <v>1803</v>
      </c>
      <c r="C550" s="17">
        <v>45440.77083333333</v>
      </c>
      <c r="D550" s="17">
        <v>45440.77083333333</v>
      </c>
      <c r="E550" s="16" t="s">
        <v>1804</v>
      </c>
      <c r="F550" s="16" t="s">
        <v>163</v>
      </c>
      <c r="G550" s="16" t="s">
        <v>109</v>
      </c>
      <c r="H550" s="16" t="s">
        <v>52</v>
      </c>
      <c r="I550" s="16" t="s">
        <v>168</v>
      </c>
      <c r="J550" s="16" t="s">
        <v>169</v>
      </c>
      <c r="K550" s="16" t="s">
        <v>55</v>
      </c>
      <c r="L550" s="16" t="s">
        <v>182</v>
      </c>
      <c r="M550" s="16" t="s">
        <v>1805</v>
      </c>
      <c r="N550" s="16" t="s">
        <v>58</v>
      </c>
      <c r="O550" s="16">
        <v>1</v>
      </c>
      <c r="P550" s="18">
        <v>1072.01</v>
      </c>
      <c r="Q550" s="19">
        <v>0</v>
      </c>
      <c r="R550" s="19">
        <v>0</v>
      </c>
      <c r="S550" s="18">
        <v>1072.01</v>
      </c>
      <c r="T550" s="18">
        <v>852.62</v>
      </c>
      <c r="U550" s="18">
        <v>219.39</v>
      </c>
      <c r="V550" s="16" t="s">
        <v>131</v>
      </c>
      <c r="W550" s="16" t="s">
        <v>85</v>
      </c>
      <c r="X550" s="18">
        <f>IF(OR(O550="",P550="",R550=""),"",O550*P550*(1-R550))</f>
        <v>1072.01</v>
      </c>
      <c r="Y550" s="18">
        <f>IF(OR(X550="",T550=""),"",X550-T550)</f>
        <v>219.39</v>
      </c>
      <c r="Z550" s="19">
        <f>IFERROR(Y550/X550,"")</f>
        <v>0.2047</v>
      </c>
      <c r="AA550" s="16">
        <f>IF(OR(C550="",D550=""),"",D550-C550)</f>
        <v>0</v>
      </c>
      <c r="AB550" s="16">
        <f>IF(C550="","",MONTH(C550))</f>
        <v>5</v>
      </c>
      <c r="AC550" s="16">
        <f>IF(C550="","",YEAR(C550))</f>
        <v>2024</v>
      </c>
      <c r="AD550" s="16" t="s">
        <v>86</v>
      </c>
      <c r="AE550" s="16" t="s">
        <v>66</v>
      </c>
      <c r="AF550" s="16" t="s">
        <v>255</v>
      </c>
    </row>
    <row r="551" spans="1:32" x14ac:dyDescent="0.25">
      <c r="A551" s="1">
        <v>551</v>
      </c>
      <c r="B551" s="1" t="s">
        <v>1806</v>
      </c>
      <c r="C551" s="2">
        <v>45940.77083333333</v>
      </c>
      <c r="D551" s="2">
        <v>45942.77083333333</v>
      </c>
      <c r="E551" s="1" t="s">
        <v>1807</v>
      </c>
      <c r="F551" s="1" t="s">
        <v>50</v>
      </c>
      <c r="G551" s="1" t="s">
        <v>109</v>
      </c>
      <c r="H551" s="1" t="s">
        <v>71</v>
      </c>
      <c r="I551" s="1" t="s">
        <v>72</v>
      </c>
      <c r="J551" s="1" t="s">
        <v>73</v>
      </c>
      <c r="K551" s="1" t="s">
        <v>39</v>
      </c>
      <c r="L551" s="1" t="s">
        <v>62</v>
      </c>
      <c r="M551" s="1" t="s">
        <v>1808</v>
      </c>
      <c r="N551" s="1" t="s">
        <v>42</v>
      </c>
      <c r="O551" s="1">
        <v>3</v>
      </c>
      <c r="P551" s="3">
        <v>3804.27</v>
      </c>
      <c r="Q551" s="4">
        <v>0.1</v>
      </c>
      <c r="R551" s="4">
        <v>0.1</v>
      </c>
      <c r="S551" s="3">
        <v>10271.53</v>
      </c>
      <c r="T551" s="3">
        <v>8272.24</v>
      </c>
      <c r="U551" s="3">
        <v>1999.29</v>
      </c>
      <c r="V551" s="1" t="s">
        <v>43</v>
      </c>
      <c r="W551" s="1" t="s">
        <v>44</v>
      </c>
      <c r="X551" s="3">
        <f>IF(OR(O551="",P551="",R551=""),"",O551*P551*(1-R551))</f>
        <v>10271.53</v>
      </c>
      <c r="Y551" s="3">
        <f>IF(OR(X551="",T551=""),"",X551-T551)</f>
        <v>1999.29</v>
      </c>
      <c r="Z551" s="4">
        <f>IFERROR(Y551/X551,"")</f>
        <v>0.1946</v>
      </c>
      <c r="AA551" s="1">
        <f>IF(OR(C551="",D551=""),"",D551-C551)</f>
        <v>2</v>
      </c>
      <c r="AB551" s="1">
        <f>IF(C551="","",MONTH(C551))</f>
        <v>10</v>
      </c>
      <c r="AC551" s="1">
        <f>IF(C551="","",YEAR(C551))</f>
        <v>2025</v>
      </c>
      <c r="AD551" s="1" t="s">
        <v>45</v>
      </c>
      <c r="AE551" s="1" t="s">
        <v>46</v>
      </c>
      <c r="AF551" s="1" t="s">
        <v>47</v>
      </c>
    </row>
    <row r="552" spans="1:32" x14ac:dyDescent="0.25">
      <c r="A552" s="1">
        <v>552</v>
      </c>
      <c r="B552" s="1" t="s">
        <v>1809</v>
      </c>
      <c r="C552" s="2">
        <v>45505.77083333333</v>
      </c>
      <c r="D552" s="2">
        <v>45513.77083333333</v>
      </c>
      <c r="E552" s="1" t="s">
        <v>1810</v>
      </c>
      <c r="F552" s="1" t="s">
        <v>50</v>
      </c>
      <c r="G552" s="1" t="s">
        <v>114</v>
      </c>
      <c r="H552" s="1" t="s">
        <v>52</v>
      </c>
      <c r="I552" s="1" t="s">
        <v>53</v>
      </c>
      <c r="J552" s="1" t="s">
        <v>54</v>
      </c>
      <c r="K552" s="1" t="s">
        <v>93</v>
      </c>
      <c r="L552" s="1" t="s">
        <v>94</v>
      </c>
      <c r="M552" s="1" t="s">
        <v>1811</v>
      </c>
      <c r="N552" s="1" t="s">
        <v>76</v>
      </c>
      <c r="O552" s="1">
        <v>6</v>
      </c>
      <c r="P552" s="3">
        <v>2126.44</v>
      </c>
      <c r="Q552" s="4">
        <v>0.2</v>
      </c>
      <c r="R552" s="4">
        <v>0.2</v>
      </c>
      <c r="S552" s="3">
        <v>10206.91</v>
      </c>
      <c r="T552" s="3">
        <v>6764.53</v>
      </c>
      <c r="U552" s="3">
        <v>3442.38</v>
      </c>
      <c r="V552" s="1" t="s">
        <v>43</v>
      </c>
      <c r="W552" s="1" t="s">
        <v>44</v>
      </c>
      <c r="X552" s="3">
        <f>IF(OR(O552="",P552="",R552=""),"",O552*P552*(1-R552))</f>
        <v>10206.91</v>
      </c>
      <c r="Y552" s="3">
        <f>IF(OR(X552="",T552=""),"",X552-T552)</f>
        <v>3442.38</v>
      </c>
      <c r="Z552" s="4">
        <f>IFERROR(Y552/X552,"")</f>
        <v>0.3373</v>
      </c>
      <c r="AA552" s="1">
        <f>IF(OR(C552="",D552=""),"",D552-C552)</f>
        <v>8</v>
      </c>
      <c r="AB552" s="1">
        <f>IF(C552="","",MONTH(C552))</f>
        <v>8</v>
      </c>
      <c r="AC552" s="1">
        <f>IF(C552="","",YEAR(C552))</f>
        <v>2024</v>
      </c>
      <c r="AD552" s="1" t="s">
        <v>45</v>
      </c>
      <c r="AE552" s="1" t="s">
        <v>46</v>
      </c>
      <c r="AF552" s="1" t="s">
        <v>47</v>
      </c>
    </row>
    <row r="553" spans="1:32" x14ac:dyDescent="0.25">
      <c r="A553" s="1">
        <v>553</v>
      </c>
      <c r="B553" s="1" t="s">
        <v>1812</v>
      </c>
      <c r="C553" s="2">
        <v>45348.77083333333</v>
      </c>
      <c r="D553" s="2">
        <v>45348.77083333333</v>
      </c>
      <c r="E553" s="1" t="s">
        <v>1813</v>
      </c>
      <c r="F553" s="1" t="s">
        <v>153</v>
      </c>
      <c r="G553" s="1" t="s">
        <v>35</v>
      </c>
      <c r="H553" s="1" t="s">
        <v>52</v>
      </c>
      <c r="I553" s="1" t="s">
        <v>258</v>
      </c>
      <c r="J553" s="1" t="s">
        <v>259</v>
      </c>
      <c r="K553" s="1" t="s">
        <v>55</v>
      </c>
      <c r="L553" s="1" t="s">
        <v>83</v>
      </c>
      <c r="M553" s="1" t="s">
        <v>1814</v>
      </c>
      <c r="N553" s="1" t="s">
        <v>42</v>
      </c>
      <c r="O553" s="1">
        <v>3</v>
      </c>
      <c r="P553" s="3">
        <v>3148.09</v>
      </c>
      <c r="Q553" s="4">
        <v>0.15</v>
      </c>
      <c r="R553" s="4">
        <v>0.15</v>
      </c>
      <c r="S553" s="3">
        <v>8027.63</v>
      </c>
      <c r="T553" s="3">
        <v>5496.09</v>
      </c>
      <c r="U553" s="3">
        <v>2531.54</v>
      </c>
      <c r="V553" s="1" t="s">
        <v>43</v>
      </c>
      <c r="W553" s="1" t="s">
        <v>44</v>
      </c>
      <c r="X553" s="3">
        <f>IF(OR(O553="",P553="",R553=""),"",O553*P553*(1-R553))</f>
        <v>8027.63</v>
      </c>
      <c r="Y553" s="3">
        <f>IF(OR(X553="",T553=""),"",X553-T553)</f>
        <v>2531.54</v>
      </c>
      <c r="Z553" s="4">
        <f>IFERROR(Y553/X553,"")</f>
        <v>0.3154</v>
      </c>
      <c r="AA553" s="1">
        <f>IF(OR(C553="",D553=""),"",D553-C553)</f>
        <v>0</v>
      </c>
      <c r="AB553" s="1">
        <f>IF(C553="","",MONTH(C553))</f>
        <v>2</v>
      </c>
      <c r="AC553" s="1">
        <f>IF(C553="","",YEAR(C553))</f>
        <v>2024</v>
      </c>
      <c r="AD553" s="1" t="s">
        <v>45</v>
      </c>
      <c r="AE553" s="1" t="s">
        <v>46</v>
      </c>
      <c r="AF553" s="1" t="s">
        <v>47</v>
      </c>
    </row>
    <row r="554" spans="1:32" s="10" customFormat="1" x14ac:dyDescent="0.25">
      <c r="A554" s="11">
        <v>554</v>
      </c>
      <c r="B554" s="11" t="s">
        <v>1815</v>
      </c>
      <c r="C554" s="12">
        <v>45680.77083333333</v>
      </c>
      <c r="D554" s="12">
        <v>45686.77083333333</v>
      </c>
      <c r="E554" s="11" t="s">
        <v>1816</v>
      </c>
      <c r="F554" s="11" t="s">
        <v>79</v>
      </c>
      <c r="G554" s="11" t="s">
        <v>109</v>
      </c>
      <c r="H554" s="11" t="s">
        <v>52</v>
      </c>
      <c r="I554" s="11" t="s">
        <v>118</v>
      </c>
      <c r="J554" s="11" t="s">
        <v>119</v>
      </c>
      <c r="K554" s="11" t="s">
        <v>93</v>
      </c>
      <c r="L554" s="11" t="s">
        <v>99</v>
      </c>
      <c r="M554" s="11" t="s">
        <v>1817</v>
      </c>
      <c r="N554" s="11" t="s">
        <v>76</v>
      </c>
      <c r="O554" s="11">
        <v>8</v>
      </c>
      <c r="P554" s="13">
        <v>312.53</v>
      </c>
      <c r="Q554" s="14"/>
      <c r="R554" s="14">
        <v>0</v>
      </c>
      <c r="S554" s="13">
        <v>1875.18</v>
      </c>
      <c r="T554" s="13">
        <v>1579.17</v>
      </c>
      <c r="U554" s="13">
        <v>296.01</v>
      </c>
      <c r="V554" s="11" t="s">
        <v>43</v>
      </c>
      <c r="W554" s="11" t="s">
        <v>44</v>
      </c>
      <c r="X554" s="13">
        <f>IF(OR(O554="",P554="",R554=""),"",O554*P554*(1-R554))</f>
        <v>2500.24</v>
      </c>
      <c r="Y554" s="13">
        <f>IF(OR(X554="",T554=""),"",X554-T554)</f>
        <v>921.07</v>
      </c>
      <c r="Z554" s="14">
        <f>IFERROR(Y554/X554,"")</f>
        <v>0.3684</v>
      </c>
      <c r="AA554" s="11">
        <f>IF(OR(C554="",D554=""),"",D554-C554)</f>
        <v>6</v>
      </c>
      <c r="AB554" s="11">
        <f>IF(C554="","",MONTH(C554))</f>
        <v>1</v>
      </c>
      <c r="AC554" s="11">
        <f>IF(C554="","",YEAR(C554))</f>
        <v>2025</v>
      </c>
      <c r="AD554" s="11" t="s">
        <v>65</v>
      </c>
      <c r="AE554" s="11" t="s">
        <v>66</v>
      </c>
      <c r="AF554" s="11" t="s">
        <v>225</v>
      </c>
    </row>
    <row r="555" spans="1:32" x14ac:dyDescent="0.25">
      <c r="A555" s="1">
        <v>555</v>
      </c>
      <c r="B555" s="1" t="s">
        <v>1818</v>
      </c>
      <c r="C555" s="2">
        <v>45771.77083333333</v>
      </c>
      <c r="D555" s="2">
        <v>45774.77083333333</v>
      </c>
      <c r="E555" s="1" t="s">
        <v>1819</v>
      </c>
      <c r="F555" s="1" t="s">
        <v>149</v>
      </c>
      <c r="G555" s="1" t="s">
        <v>51</v>
      </c>
      <c r="H555" s="1" t="s">
        <v>80</v>
      </c>
      <c r="I555" s="1" t="s">
        <v>206</v>
      </c>
      <c r="J555" s="1" t="s">
        <v>207</v>
      </c>
      <c r="K555" s="1" t="s">
        <v>39</v>
      </c>
      <c r="L555" s="1" t="s">
        <v>145</v>
      </c>
      <c r="M555" s="1" t="s">
        <v>1820</v>
      </c>
      <c r="N555" s="1" t="s">
        <v>64</v>
      </c>
      <c r="O555" s="1">
        <v>9</v>
      </c>
      <c r="P555" s="3">
        <v>1294.11</v>
      </c>
      <c r="Q555" s="4">
        <v>0.25</v>
      </c>
      <c r="R555" s="4">
        <v>0.25</v>
      </c>
      <c r="S555" s="3">
        <v>8735.24</v>
      </c>
      <c r="T555" s="3">
        <v>6620.07</v>
      </c>
      <c r="U555" s="3">
        <v>2115.17</v>
      </c>
      <c r="V555" s="1" t="s">
        <v>43</v>
      </c>
      <c r="W555" s="1" t="s">
        <v>44</v>
      </c>
      <c r="X555" s="3">
        <f>IF(OR(O555="",P555="",R555=""),"",O555*P555*(1-R555))</f>
        <v>8735.24</v>
      </c>
      <c r="Y555" s="3">
        <f>IF(OR(X555="",T555=""),"",X555-T555)</f>
        <v>2115.17</v>
      </c>
      <c r="Z555" s="4">
        <f>IFERROR(Y555/X555,"")</f>
        <v>0.2421</v>
      </c>
      <c r="AA555" s="1">
        <f>IF(OR(C555="",D555=""),"",D555-C555)</f>
        <v>3</v>
      </c>
      <c r="AB555" s="1">
        <f>IF(C555="","",MONTH(C555))</f>
        <v>4</v>
      </c>
      <c r="AC555" s="1">
        <f>IF(C555="","",YEAR(C555))</f>
        <v>2025</v>
      </c>
      <c r="AD555" s="1" t="s">
        <v>45</v>
      </c>
      <c r="AE555" s="1" t="s">
        <v>46</v>
      </c>
      <c r="AF555" s="1" t="s">
        <v>47</v>
      </c>
    </row>
    <row r="556" spans="1:32" s="15" customFormat="1" x14ac:dyDescent="0.25">
      <c r="A556" s="16">
        <v>556</v>
      </c>
      <c r="B556" s="16" t="s">
        <v>1821</v>
      </c>
      <c r="C556" s="17">
        <v>45576.77083333333</v>
      </c>
      <c r="D556" s="17">
        <v>45581.77083333333</v>
      </c>
      <c r="E556" s="16" t="s">
        <v>1822</v>
      </c>
      <c r="F556" s="16" t="s">
        <v>70</v>
      </c>
      <c r="G556" s="16" t="s">
        <v>35</v>
      </c>
      <c r="H556" s="16" t="s">
        <v>232</v>
      </c>
      <c r="I556" s="16" t="s">
        <v>258</v>
      </c>
      <c r="J556" s="16" t="s">
        <v>259</v>
      </c>
      <c r="K556" s="16" t="s">
        <v>55</v>
      </c>
      <c r="L556" s="16" t="s">
        <v>74</v>
      </c>
      <c r="M556" s="16" t="s">
        <v>1823</v>
      </c>
      <c r="N556" s="16" t="s">
        <v>76</v>
      </c>
      <c r="O556" s="16">
        <v>4</v>
      </c>
      <c r="P556" s="18">
        <v>1071.22</v>
      </c>
      <c r="Q556" s="19">
        <v>0.05</v>
      </c>
      <c r="R556" s="19">
        <v>0.05</v>
      </c>
      <c r="S556" s="18">
        <v>4070.64</v>
      </c>
      <c r="T556" s="18">
        <v>2831.62</v>
      </c>
      <c r="U556" s="18">
        <v>1239.02</v>
      </c>
      <c r="V556" s="16" t="s">
        <v>43</v>
      </c>
      <c r="W556" s="16" t="s">
        <v>44</v>
      </c>
      <c r="X556" s="18">
        <f>IF(OR(O556="",P556="",R556=""),"",O556*P556*(1-R556))</f>
        <v>4070.64</v>
      </c>
      <c r="Y556" s="18">
        <f>IF(OR(X556="",T556=""),"",X556-T556)</f>
        <v>1239.02</v>
      </c>
      <c r="Z556" s="19">
        <f>IFERROR(Y556/X556,"")</f>
        <v>0.3044</v>
      </c>
      <c r="AA556" s="16">
        <f>IF(OR(C556="",D556=""),"",D556-C556)</f>
        <v>5</v>
      </c>
      <c r="AB556" s="16">
        <f>IF(C556="","",MONTH(C556))</f>
        <v>10</v>
      </c>
      <c r="AC556" s="16">
        <f>IF(C556="","",YEAR(C556))</f>
        <v>2024</v>
      </c>
      <c r="AD556" s="16" t="s">
        <v>86</v>
      </c>
      <c r="AE556" s="16" t="s">
        <v>46</v>
      </c>
      <c r="AF556" s="16" t="s">
        <v>487</v>
      </c>
    </row>
    <row r="557" spans="1:32" x14ac:dyDescent="0.25">
      <c r="A557" s="1">
        <v>557</v>
      </c>
      <c r="B557" s="1" t="s">
        <v>1824</v>
      </c>
      <c r="C557" s="2">
        <v>45691.77083333333</v>
      </c>
      <c r="D557" s="2">
        <v>45697.77083333333</v>
      </c>
      <c r="E557" s="1" t="s">
        <v>1825</v>
      </c>
      <c r="F557" s="1" t="s">
        <v>79</v>
      </c>
      <c r="G557" s="1" t="s">
        <v>51</v>
      </c>
      <c r="H557" s="1" t="s">
        <v>71</v>
      </c>
      <c r="I557" s="1" t="s">
        <v>72</v>
      </c>
      <c r="J557" s="1" t="s">
        <v>73</v>
      </c>
      <c r="K557" s="1" t="s">
        <v>39</v>
      </c>
      <c r="L557" s="1" t="s">
        <v>145</v>
      </c>
      <c r="M557" s="1" t="s">
        <v>1826</v>
      </c>
      <c r="N557" s="1" t="s">
        <v>76</v>
      </c>
      <c r="O557" s="1">
        <v>6</v>
      </c>
      <c r="P557" s="3">
        <v>1042.8</v>
      </c>
      <c r="Q557" s="4">
        <v>0.05</v>
      </c>
      <c r="R557" s="4">
        <v>0.05</v>
      </c>
      <c r="S557" s="3">
        <v>5943.96</v>
      </c>
      <c r="T557" s="3">
        <v>3604.14</v>
      </c>
      <c r="U557" s="3">
        <v>2339.82</v>
      </c>
      <c r="V557" s="1" t="s">
        <v>43</v>
      </c>
      <c r="W557" s="1" t="s">
        <v>44</v>
      </c>
      <c r="X557" s="3">
        <f>IF(OR(O557="",P557="",R557=""),"",O557*P557*(1-R557))</f>
        <v>5943.96</v>
      </c>
      <c r="Y557" s="3">
        <f>IF(OR(X557="",T557=""),"",X557-T557)</f>
        <v>2339.82</v>
      </c>
      <c r="Z557" s="4">
        <f>IFERROR(Y557/X557,"")</f>
        <v>0.3936</v>
      </c>
      <c r="AA557" s="1">
        <f>IF(OR(C557="",D557=""),"",D557-C557)</f>
        <v>6</v>
      </c>
      <c r="AB557" s="1">
        <f>IF(C557="","",MONTH(C557))</f>
        <v>2</v>
      </c>
      <c r="AC557" s="1">
        <f>IF(C557="","",YEAR(C557))</f>
        <v>2025</v>
      </c>
      <c r="AD557" s="1" t="s">
        <v>45</v>
      </c>
      <c r="AE557" s="1" t="s">
        <v>46</v>
      </c>
      <c r="AF557" s="1" t="s">
        <v>47</v>
      </c>
    </row>
    <row r="558" spans="1:32" s="10" customFormat="1" x14ac:dyDescent="0.25">
      <c r="A558" s="11">
        <v>558</v>
      </c>
      <c r="B558" s="11" t="s">
        <v>1827</v>
      </c>
      <c r="C558" s="12">
        <v>45465.77083333333</v>
      </c>
      <c r="D558" s="12">
        <v>45471.77083333333</v>
      </c>
      <c r="E558" s="11" t="s">
        <v>1828</v>
      </c>
      <c r="F558" s="11" t="s">
        <v>98</v>
      </c>
      <c r="G558" s="11" t="s">
        <v>35</v>
      </c>
      <c r="H558" s="11" t="s">
        <v>36</v>
      </c>
      <c r="I558" s="11" t="s">
        <v>266</v>
      </c>
      <c r="J558" s="11" t="s">
        <v>267</v>
      </c>
      <c r="K558" s="11" t="s">
        <v>55</v>
      </c>
      <c r="L558" s="11" t="s">
        <v>56</v>
      </c>
      <c r="M558" s="11" t="s">
        <v>1829</v>
      </c>
      <c r="N558" s="11" t="s">
        <v>64</v>
      </c>
      <c r="O558" s="11">
        <v>1</v>
      </c>
      <c r="P558" s="13">
        <v>4426.66</v>
      </c>
      <c r="Q558" s="14">
        <v>0</v>
      </c>
      <c r="R558" s="14">
        <v>0</v>
      </c>
      <c r="S558" s="13">
        <v>4426.66</v>
      </c>
      <c r="T558" s="13">
        <v>3035.2</v>
      </c>
      <c r="U558" s="13">
        <v>1816.23</v>
      </c>
      <c r="V558" s="11" t="s">
        <v>43</v>
      </c>
      <c r="W558" s="11" t="s">
        <v>122</v>
      </c>
      <c r="X558" s="13">
        <f>IF(OR(O558="",P558="",R558=""),"",O558*P558*(1-R558))</f>
        <v>4426.66</v>
      </c>
      <c r="Y558" s="13">
        <f>IF(OR(X558="",T558=""),"",X558-T558)</f>
        <v>1391.46</v>
      </c>
      <c r="Z558" s="14">
        <f>IFERROR(Y558/X558,"")</f>
        <v>0.3143</v>
      </c>
      <c r="AA558" s="11">
        <f>IF(OR(C558="",D558=""),"",D558-C558)</f>
        <v>6</v>
      </c>
      <c r="AB558" s="11">
        <f>IF(C558="","",MONTH(C558))</f>
        <v>6</v>
      </c>
      <c r="AC558" s="11">
        <f>IF(C558="","",YEAR(C558))</f>
        <v>2024</v>
      </c>
      <c r="AD558" s="11" t="s">
        <v>65</v>
      </c>
      <c r="AE558" s="11" t="s">
        <v>66</v>
      </c>
      <c r="AF558" s="11" t="s">
        <v>1830</v>
      </c>
    </row>
    <row r="559" spans="1:32" s="15" customFormat="1" x14ac:dyDescent="0.25">
      <c r="A559" s="16">
        <v>559</v>
      </c>
      <c r="B559" s="16" t="s">
        <v>1831</v>
      </c>
      <c r="C559" s="17">
        <v>45419.77083333333</v>
      </c>
      <c r="D559" s="17">
        <v>45425.77083333333</v>
      </c>
      <c r="E559" s="16" t="s">
        <v>1832</v>
      </c>
      <c r="F559" s="16" t="s">
        <v>90</v>
      </c>
      <c r="G559" s="16" t="s">
        <v>114</v>
      </c>
      <c r="H559" s="16" t="s">
        <v>36</v>
      </c>
      <c r="I559" s="16" t="s">
        <v>266</v>
      </c>
      <c r="J559" s="16" t="s">
        <v>267</v>
      </c>
      <c r="K559" s="16" t="s">
        <v>93</v>
      </c>
      <c r="L559" s="16" t="s">
        <v>196</v>
      </c>
      <c r="M559" s="16" t="s">
        <v>1833</v>
      </c>
      <c r="N559" s="16" t="s">
        <v>64</v>
      </c>
      <c r="O559" s="16">
        <v>9</v>
      </c>
      <c r="P559" s="18">
        <v>3769.46</v>
      </c>
      <c r="Q559" s="19">
        <v>0.05</v>
      </c>
      <c r="R559" s="19">
        <v>0.05</v>
      </c>
      <c r="S559" s="18">
        <v>32228.88</v>
      </c>
      <c r="T559" s="18">
        <v>24971.36</v>
      </c>
      <c r="U559" s="18">
        <v>7257.52</v>
      </c>
      <c r="V559" s="16" t="s">
        <v>43</v>
      </c>
      <c r="W559" s="16" t="s">
        <v>85</v>
      </c>
      <c r="X559" s="18">
        <f>IF(OR(O559="",P559="",R559=""),"",O559*P559*(1-R559))</f>
        <v>32228.88</v>
      </c>
      <c r="Y559" s="18">
        <f>IF(OR(X559="",T559=""),"",X559-T559)</f>
        <v>7257.52</v>
      </c>
      <c r="Z559" s="19">
        <f>IFERROR(Y559/X559,"")</f>
        <v>0.2252</v>
      </c>
      <c r="AA559" s="16">
        <f>IF(OR(C559="",D559=""),"",D559-C559)</f>
        <v>6</v>
      </c>
      <c r="AB559" s="16">
        <f>IF(C559="","",MONTH(C559))</f>
        <v>5</v>
      </c>
      <c r="AC559" s="16">
        <f>IF(C559="","",YEAR(C559))</f>
        <v>2024</v>
      </c>
      <c r="AD559" s="16" t="s">
        <v>86</v>
      </c>
      <c r="AE559" s="16" t="s">
        <v>66</v>
      </c>
      <c r="AF559" s="16" t="s">
        <v>87</v>
      </c>
    </row>
    <row r="560" spans="1:32" x14ac:dyDescent="0.25">
      <c r="A560" s="1">
        <v>560</v>
      </c>
      <c r="B560" s="1" t="s">
        <v>1834</v>
      </c>
      <c r="C560" s="2">
        <v>45903.77083333333</v>
      </c>
      <c r="D560" s="2">
        <v>45903.77083333333</v>
      </c>
      <c r="E560" s="1" t="s">
        <v>1835</v>
      </c>
      <c r="F560" s="1" t="s">
        <v>108</v>
      </c>
      <c r="G560" s="1" t="s">
        <v>109</v>
      </c>
      <c r="H560" s="1" t="s">
        <v>36</v>
      </c>
      <c r="I560" s="1" t="s">
        <v>143</v>
      </c>
      <c r="J560" s="1" t="s">
        <v>144</v>
      </c>
      <c r="K560" s="1" t="s">
        <v>93</v>
      </c>
      <c r="L560" s="1" t="s">
        <v>305</v>
      </c>
      <c r="M560" s="1" t="s">
        <v>1836</v>
      </c>
      <c r="N560" s="1" t="s">
        <v>64</v>
      </c>
      <c r="O560" s="1">
        <v>8</v>
      </c>
      <c r="P560" s="3">
        <v>3079.95</v>
      </c>
      <c r="Q560" s="4">
        <v>0.2</v>
      </c>
      <c r="R560" s="4">
        <v>0.2</v>
      </c>
      <c r="S560" s="3">
        <v>19711.68</v>
      </c>
      <c r="T560" s="3">
        <v>14461.8</v>
      </c>
      <c r="U560" s="3">
        <v>5249.88</v>
      </c>
      <c r="V560" s="1" t="s">
        <v>43</v>
      </c>
      <c r="W560" s="1" t="s">
        <v>44</v>
      </c>
      <c r="X560" s="3">
        <f>IF(OR(O560="",P560="",R560=""),"",O560*P560*(1-R560))</f>
        <v>19711.68</v>
      </c>
      <c r="Y560" s="3">
        <f>IF(OR(X560="",T560=""),"",X560-T560)</f>
        <v>5249.88</v>
      </c>
      <c r="Z560" s="4">
        <f>IFERROR(Y560/X560,"")</f>
        <v>0.2663</v>
      </c>
      <c r="AA560" s="1">
        <f>IF(OR(C560="",D560=""),"",D560-C560)</f>
        <v>0</v>
      </c>
      <c r="AB560" s="1">
        <f>IF(C560="","",MONTH(C560))</f>
        <v>9</v>
      </c>
      <c r="AC560" s="1">
        <f>IF(C560="","",YEAR(C560))</f>
        <v>2025</v>
      </c>
      <c r="AD560" s="1" t="s">
        <v>45</v>
      </c>
      <c r="AE560" s="1" t="s">
        <v>46</v>
      </c>
      <c r="AF560" s="1" t="s">
        <v>47</v>
      </c>
    </row>
    <row r="561" spans="1:32" s="15" customFormat="1" x14ac:dyDescent="0.25">
      <c r="A561" s="16">
        <v>561</v>
      </c>
      <c r="B561" s="16" t="s">
        <v>1837</v>
      </c>
      <c r="C561" s="17">
        <v>45929.77083333333</v>
      </c>
      <c r="D561" s="17">
        <v>45936.77083333333</v>
      </c>
      <c r="E561" s="16" t="s">
        <v>1838</v>
      </c>
      <c r="F561" s="16" t="s">
        <v>186</v>
      </c>
      <c r="G561" s="16" t="s">
        <v>109</v>
      </c>
      <c r="H561" s="16" t="s">
        <v>52</v>
      </c>
      <c r="I561" s="16" t="s">
        <v>168</v>
      </c>
      <c r="J561" s="16" t="s">
        <v>169</v>
      </c>
      <c r="K561" s="16" t="s">
        <v>93</v>
      </c>
      <c r="L561" s="16" t="s">
        <v>99</v>
      </c>
      <c r="M561" s="16" t="s">
        <v>1839</v>
      </c>
      <c r="N561" s="16" t="s">
        <v>42</v>
      </c>
      <c r="O561" s="16">
        <v>5</v>
      </c>
      <c r="P561" s="18">
        <v>3277.82</v>
      </c>
      <c r="Q561" s="19">
        <v>0.1</v>
      </c>
      <c r="R561" s="19">
        <v>0.1</v>
      </c>
      <c r="S561" s="18">
        <v>14750.19</v>
      </c>
      <c r="T561" s="18">
        <v>9482.58</v>
      </c>
      <c r="U561" s="18">
        <v>5267.61</v>
      </c>
      <c r="V561" s="16" t="s">
        <v>43</v>
      </c>
      <c r="W561" s="16" t="s">
        <v>122</v>
      </c>
      <c r="X561" s="18">
        <f>IF(OR(O561="",P561="",R561=""),"",O561*P561*(1-R561))</f>
        <v>14750.19</v>
      </c>
      <c r="Y561" s="18">
        <f>IF(OR(X561="",T561=""),"",X561-T561)</f>
        <v>5267.61</v>
      </c>
      <c r="Z561" s="19">
        <f>IFERROR(Y561/X561,"")</f>
        <v>0.3571</v>
      </c>
      <c r="AA561" s="16">
        <f>IF(OR(C561="",D561=""),"",D561-C561)</f>
        <v>7</v>
      </c>
      <c r="AB561" s="16">
        <f>IF(C561="","",MONTH(C561))</f>
        <v>9</v>
      </c>
      <c r="AC561" s="16">
        <f>IF(C561="","",YEAR(C561))</f>
        <v>2025</v>
      </c>
      <c r="AD561" s="16" t="s">
        <v>86</v>
      </c>
      <c r="AE561" s="16" t="s">
        <v>66</v>
      </c>
      <c r="AF561" s="16" t="s">
        <v>198</v>
      </c>
    </row>
    <row r="562" spans="1:32" s="15" customFormat="1" x14ac:dyDescent="0.25">
      <c r="A562" s="16">
        <v>562</v>
      </c>
      <c r="B562" s="16" t="s">
        <v>1840</v>
      </c>
      <c r="C562" s="17">
        <v>45306.77083333333</v>
      </c>
      <c r="D562" s="17">
        <v>45312.77083333333</v>
      </c>
      <c r="E562" s="16" t="s">
        <v>1841</v>
      </c>
      <c r="F562" s="16" t="s">
        <v>70</v>
      </c>
      <c r="G562" s="16" t="s">
        <v>35</v>
      </c>
      <c r="H562" s="16" t="s">
        <v>80</v>
      </c>
      <c r="I562" s="16" t="s">
        <v>216</v>
      </c>
      <c r="J562" s="16" t="s">
        <v>217</v>
      </c>
      <c r="K562" s="16" t="s">
        <v>39</v>
      </c>
      <c r="L562" s="16" t="s">
        <v>145</v>
      </c>
      <c r="M562" s="16" t="s">
        <v>1842</v>
      </c>
      <c r="N562" s="16" t="s">
        <v>76</v>
      </c>
      <c r="O562" s="16">
        <v>4</v>
      </c>
      <c r="P562" s="18">
        <v>282.53</v>
      </c>
      <c r="Q562" s="19">
        <v>0</v>
      </c>
      <c r="R562" s="19">
        <v>0</v>
      </c>
      <c r="S562" s="18">
        <v>1130.12</v>
      </c>
      <c r="T562" s="18">
        <v>848.62</v>
      </c>
      <c r="U562" s="18">
        <v>281.5</v>
      </c>
      <c r="V562" s="16" t="s">
        <v>43</v>
      </c>
      <c r="W562" s="16" t="s">
        <v>85</v>
      </c>
      <c r="X562" s="18">
        <f>IF(OR(O562="",P562="",R562=""),"",O562*P562*(1-R562))</f>
        <v>1130.12</v>
      </c>
      <c r="Y562" s="18">
        <f>IF(OR(X562="",T562=""),"",X562-T562)</f>
        <v>281.5</v>
      </c>
      <c r="Z562" s="19">
        <f>IFERROR(Y562/X562,"")</f>
        <v>0.2491</v>
      </c>
      <c r="AA562" s="16">
        <f>IF(OR(C562="",D562=""),"",D562-C562)</f>
        <v>6</v>
      </c>
      <c r="AB562" s="16">
        <f>IF(C562="","",MONTH(C562))</f>
        <v>1</v>
      </c>
      <c r="AC562" s="16">
        <f>IF(C562="","",YEAR(C562))</f>
        <v>2024</v>
      </c>
      <c r="AD562" s="16" t="s">
        <v>86</v>
      </c>
      <c r="AE562" s="16" t="s">
        <v>66</v>
      </c>
      <c r="AF562" s="16" t="s">
        <v>87</v>
      </c>
    </row>
    <row r="563" spans="1:32" s="15" customFormat="1" x14ac:dyDescent="0.25">
      <c r="A563" s="16">
        <v>563</v>
      </c>
      <c r="B563" s="16" t="s">
        <v>1843</v>
      </c>
      <c r="C563" s="17">
        <v>45851.77083333333</v>
      </c>
      <c r="D563" s="17">
        <v>45855.77083333333</v>
      </c>
      <c r="E563" s="16" t="s">
        <v>1844</v>
      </c>
      <c r="F563" s="16" t="s">
        <v>108</v>
      </c>
      <c r="G563" s="16" t="s">
        <v>35</v>
      </c>
      <c r="H563" s="16" t="s">
        <v>36</v>
      </c>
      <c r="I563" s="16" t="s">
        <v>143</v>
      </c>
      <c r="J563" s="16" t="s">
        <v>144</v>
      </c>
      <c r="K563" s="16" t="s">
        <v>93</v>
      </c>
      <c r="L563" s="16" t="s">
        <v>99</v>
      </c>
      <c r="M563" s="16" t="s">
        <v>1845</v>
      </c>
      <c r="N563" s="16" t="s">
        <v>64</v>
      </c>
      <c r="O563" s="16">
        <v>4</v>
      </c>
      <c r="P563" s="18">
        <v>725.22</v>
      </c>
      <c r="Q563" s="19">
        <v>0</v>
      </c>
      <c r="R563" s="19">
        <v>0</v>
      </c>
      <c r="S563" s="18">
        <v>2900.88</v>
      </c>
      <c r="T563" s="18">
        <v>2391.85</v>
      </c>
      <c r="U563" s="18">
        <v>509.03</v>
      </c>
      <c r="V563" s="16" t="s">
        <v>131</v>
      </c>
      <c r="W563" s="16" t="s">
        <v>122</v>
      </c>
      <c r="X563" s="18">
        <f>IF(OR(O563="",P563="",R563=""),"",O563*P563*(1-R563))</f>
        <v>2900.88</v>
      </c>
      <c r="Y563" s="18">
        <f>IF(OR(X563="",T563=""),"",X563-T563)</f>
        <v>509.03</v>
      </c>
      <c r="Z563" s="19">
        <f>IFERROR(Y563/X563,"")</f>
        <v>0.1755</v>
      </c>
      <c r="AA563" s="16">
        <f>IF(OR(C563="",D563=""),"",D563-C563)</f>
        <v>4</v>
      </c>
      <c r="AB563" s="16">
        <f>IF(C563="","",MONTH(C563))</f>
        <v>7</v>
      </c>
      <c r="AC563" s="16">
        <f>IF(C563="","",YEAR(C563))</f>
        <v>2025</v>
      </c>
      <c r="AD563" s="16" t="s">
        <v>86</v>
      </c>
      <c r="AE563" s="16" t="s">
        <v>66</v>
      </c>
      <c r="AF563" s="16" t="s">
        <v>132</v>
      </c>
    </row>
    <row r="564" spans="1:32" s="15" customFormat="1" x14ac:dyDescent="0.25">
      <c r="A564" s="16">
        <v>564</v>
      </c>
      <c r="B564" s="16" t="s">
        <v>1846</v>
      </c>
      <c r="C564" s="17">
        <v>45421.77083333333</v>
      </c>
      <c r="D564" s="17">
        <v>45427.77083333333</v>
      </c>
      <c r="E564" s="16" t="s">
        <v>1847</v>
      </c>
      <c r="F564" s="16" t="s">
        <v>34</v>
      </c>
      <c r="G564" s="16" t="s">
        <v>35</v>
      </c>
      <c r="H564" s="16" t="s">
        <v>36</v>
      </c>
      <c r="I564" s="16" t="s">
        <v>143</v>
      </c>
      <c r="J564" s="16" t="s">
        <v>144</v>
      </c>
      <c r="K564" s="16" t="s">
        <v>39</v>
      </c>
      <c r="L564" s="16" t="s">
        <v>176</v>
      </c>
      <c r="M564" s="16" t="s">
        <v>1848</v>
      </c>
      <c r="N564" s="16" t="s">
        <v>58</v>
      </c>
      <c r="O564" s="16">
        <v>7</v>
      </c>
      <c r="P564" s="18">
        <v>121.54</v>
      </c>
      <c r="Q564" s="19">
        <v>0.2</v>
      </c>
      <c r="R564" s="19">
        <v>0.2</v>
      </c>
      <c r="S564" s="18">
        <v>680.62</v>
      </c>
      <c r="T564" s="18">
        <v>463.49</v>
      </c>
      <c r="U564" s="18">
        <v>217.13</v>
      </c>
      <c r="V564" s="16" t="s">
        <v>178</v>
      </c>
      <c r="W564" s="16" t="s">
        <v>122</v>
      </c>
      <c r="X564" s="18">
        <f>IF(OR(O564="",P564="",R564=""),"",O564*P564*(1-R564))</f>
        <v>680.62</v>
      </c>
      <c r="Y564" s="18">
        <f>IF(OR(X564="",T564=""),"",X564-T564)</f>
        <v>217.13</v>
      </c>
      <c r="Z564" s="19">
        <f>IFERROR(Y564/X564,"")</f>
        <v>0.319</v>
      </c>
      <c r="AA564" s="16">
        <f>IF(OR(C564="",D564=""),"",D564-C564)</f>
        <v>6</v>
      </c>
      <c r="AB564" s="16">
        <f>IF(C564="","",MONTH(C564))</f>
        <v>5</v>
      </c>
      <c r="AC564" s="16">
        <f>IF(C564="","",YEAR(C564))</f>
        <v>2024</v>
      </c>
      <c r="AD564" s="16" t="s">
        <v>86</v>
      </c>
      <c r="AE564" s="16" t="s">
        <v>66</v>
      </c>
      <c r="AF564" s="16" t="s">
        <v>179</v>
      </c>
    </row>
    <row r="565" spans="1:32" s="15" customFormat="1" x14ac:dyDescent="0.25">
      <c r="A565" s="16">
        <v>565</v>
      </c>
      <c r="B565" s="16" t="s">
        <v>1849</v>
      </c>
      <c r="C565" s="17">
        <v>45417.77083333333</v>
      </c>
      <c r="D565" s="17">
        <v>45423.77083333333</v>
      </c>
      <c r="E565" s="16" t="s">
        <v>1850</v>
      </c>
      <c r="F565" s="16" t="s">
        <v>70</v>
      </c>
      <c r="G565" s="16" t="s">
        <v>109</v>
      </c>
      <c r="H565" s="16" t="s">
        <v>80</v>
      </c>
      <c r="I565" s="16" t="s">
        <v>216</v>
      </c>
      <c r="J565" s="16" t="s">
        <v>217</v>
      </c>
      <c r="K565" s="16" t="s">
        <v>55</v>
      </c>
      <c r="L565" s="16" t="s">
        <v>56</v>
      </c>
      <c r="M565" s="16" t="s">
        <v>1851</v>
      </c>
      <c r="N565" s="16" t="s">
        <v>76</v>
      </c>
      <c r="O565" s="16">
        <v>9</v>
      </c>
      <c r="P565" s="18">
        <v>790.97</v>
      </c>
      <c r="Q565" s="19">
        <v>0.2</v>
      </c>
      <c r="R565" s="19">
        <v>0.2</v>
      </c>
      <c r="S565" s="18">
        <v>5694.98</v>
      </c>
      <c r="T565" s="18">
        <v>4618.33</v>
      </c>
      <c r="U565" s="18">
        <v>1076.65</v>
      </c>
      <c r="V565" s="16" t="s">
        <v>131</v>
      </c>
      <c r="W565" s="16" t="s">
        <v>85</v>
      </c>
      <c r="X565" s="18">
        <f>IF(OR(O565="",P565="",R565=""),"",O565*P565*(1-R565))</f>
        <v>5694.98</v>
      </c>
      <c r="Y565" s="18">
        <f>IF(OR(X565="",T565=""),"",X565-T565)</f>
        <v>1076.65</v>
      </c>
      <c r="Z565" s="19">
        <f>IFERROR(Y565/X565,"")</f>
        <v>0.1891</v>
      </c>
      <c r="AA565" s="16">
        <f>IF(OR(C565="",D565=""),"",D565-C565)</f>
        <v>6</v>
      </c>
      <c r="AB565" s="16">
        <f>IF(C565="","",MONTH(C565))</f>
        <v>5</v>
      </c>
      <c r="AC565" s="16">
        <f>IF(C565="","",YEAR(C565))</f>
        <v>2024</v>
      </c>
      <c r="AD565" s="16" t="s">
        <v>86</v>
      </c>
      <c r="AE565" s="16" t="s">
        <v>66</v>
      </c>
      <c r="AF565" s="16" t="s">
        <v>255</v>
      </c>
    </row>
    <row r="566" spans="1:32" x14ac:dyDescent="0.25">
      <c r="A566" s="1">
        <v>566</v>
      </c>
      <c r="B566" s="1" t="s">
        <v>1852</v>
      </c>
      <c r="C566" s="2">
        <v>45605.77083333333</v>
      </c>
      <c r="D566" s="2">
        <v>45609.77083333333</v>
      </c>
      <c r="E566" s="1" t="s">
        <v>1853</v>
      </c>
      <c r="F566" s="1" t="s">
        <v>153</v>
      </c>
      <c r="G566" s="1" t="s">
        <v>109</v>
      </c>
      <c r="H566" s="1" t="s">
        <v>71</v>
      </c>
      <c r="I566" s="1" t="s">
        <v>103</v>
      </c>
      <c r="J566" s="1" t="s">
        <v>104</v>
      </c>
      <c r="K566" s="1" t="s">
        <v>55</v>
      </c>
      <c r="L566" s="1" t="s">
        <v>56</v>
      </c>
      <c r="M566" s="1" t="s">
        <v>1854</v>
      </c>
      <c r="N566" s="1" t="s">
        <v>64</v>
      </c>
      <c r="O566" s="1">
        <v>2</v>
      </c>
      <c r="P566" s="3">
        <v>921.34</v>
      </c>
      <c r="Q566" s="4">
        <v>0.2</v>
      </c>
      <c r="R566" s="4">
        <v>0.2</v>
      </c>
      <c r="S566" s="3">
        <v>1474.14</v>
      </c>
      <c r="T566" s="3">
        <v>968.46</v>
      </c>
      <c r="U566" s="3">
        <v>505.68</v>
      </c>
      <c r="V566" s="1" t="s">
        <v>43</v>
      </c>
      <c r="W566" s="1" t="s">
        <v>44</v>
      </c>
      <c r="X566" s="3">
        <f>IF(OR(O566="",P566="",R566=""),"",O566*P566*(1-R566))</f>
        <v>1474.14</v>
      </c>
      <c r="Y566" s="3">
        <f>IF(OR(X566="",T566=""),"",X566-T566)</f>
        <v>505.68</v>
      </c>
      <c r="Z566" s="4">
        <f>IFERROR(Y566/X566,"")</f>
        <v>0.343</v>
      </c>
      <c r="AA566" s="1">
        <f>IF(OR(C566="",D566=""),"",D566-C566)</f>
        <v>4</v>
      </c>
      <c r="AB566" s="1">
        <f>IF(C566="","",MONTH(C566))</f>
        <v>11</v>
      </c>
      <c r="AC566" s="1">
        <f>IF(C566="","",YEAR(C566))</f>
        <v>2024</v>
      </c>
      <c r="AD566" s="1" t="s">
        <v>45</v>
      </c>
      <c r="AE566" s="1" t="s">
        <v>46</v>
      </c>
      <c r="AF566" s="1" t="s">
        <v>47</v>
      </c>
    </row>
    <row r="567" spans="1:32" s="15" customFormat="1" x14ac:dyDescent="0.25">
      <c r="A567" s="16">
        <v>567</v>
      </c>
      <c r="B567" s="16" t="s">
        <v>1855</v>
      </c>
      <c r="C567" s="17">
        <v>45875.77083333333</v>
      </c>
      <c r="D567" s="17">
        <v>45881.77083333333</v>
      </c>
      <c r="E567" s="16" t="s">
        <v>1856</v>
      </c>
      <c r="F567" s="16" t="s">
        <v>50</v>
      </c>
      <c r="G567" s="16" t="s">
        <v>109</v>
      </c>
      <c r="H567" s="16" t="s">
        <v>36</v>
      </c>
      <c r="I567" s="16" t="s">
        <v>384</v>
      </c>
      <c r="J567" s="16" t="s">
        <v>385</v>
      </c>
      <c r="K567" s="16" t="s">
        <v>93</v>
      </c>
      <c r="L567" s="16" t="s">
        <v>196</v>
      </c>
      <c r="M567" s="16" t="s">
        <v>1857</v>
      </c>
      <c r="N567" s="16" t="s">
        <v>76</v>
      </c>
      <c r="O567" s="16">
        <v>6</v>
      </c>
      <c r="P567" s="18">
        <v>1921.86</v>
      </c>
      <c r="Q567" s="19">
        <v>0.2</v>
      </c>
      <c r="R567" s="19">
        <v>0.2</v>
      </c>
      <c r="S567" s="18">
        <v>9224.93</v>
      </c>
      <c r="T567" s="18">
        <v>7005.2</v>
      </c>
      <c r="U567" s="18">
        <v>2219.73</v>
      </c>
      <c r="V567" s="16" t="s">
        <v>121</v>
      </c>
      <c r="W567" s="16" t="s">
        <v>85</v>
      </c>
      <c r="X567" s="18">
        <f>IF(OR(O567="",P567="",R567=""),"",O567*P567*(1-R567))</f>
        <v>9224.93</v>
      </c>
      <c r="Y567" s="18">
        <f>IF(OR(X567="",T567=""),"",X567-T567)</f>
        <v>2219.73</v>
      </c>
      <c r="Z567" s="19">
        <f>IFERROR(Y567/X567,"")</f>
        <v>0.2406</v>
      </c>
      <c r="AA567" s="16">
        <f>IF(OR(C567="",D567=""),"",D567-C567)</f>
        <v>6</v>
      </c>
      <c r="AB567" s="16">
        <f>IF(C567="","",MONTH(C567))</f>
        <v>8</v>
      </c>
      <c r="AC567" s="16">
        <f>IF(C567="","",YEAR(C567))</f>
        <v>2025</v>
      </c>
      <c r="AD567" s="16" t="s">
        <v>86</v>
      </c>
      <c r="AE567" s="16" t="s">
        <v>66</v>
      </c>
      <c r="AF567" s="16" t="s">
        <v>160</v>
      </c>
    </row>
    <row r="568" spans="1:32" s="15" customFormat="1" x14ac:dyDescent="0.25">
      <c r="A568" s="16">
        <v>568</v>
      </c>
      <c r="B568" s="16" t="s">
        <v>1858</v>
      </c>
      <c r="C568" s="17">
        <v>45514.77083333333</v>
      </c>
      <c r="D568" s="17">
        <v>45522.77083333333</v>
      </c>
      <c r="E568" s="16" t="s">
        <v>1859</v>
      </c>
      <c r="F568" s="16" t="s">
        <v>153</v>
      </c>
      <c r="G568" s="16" t="s">
        <v>51</v>
      </c>
      <c r="H568" s="16" t="s">
        <v>80</v>
      </c>
      <c r="I568" s="16" t="s">
        <v>81</v>
      </c>
      <c r="J568" s="16" t="s">
        <v>82</v>
      </c>
      <c r="K568" s="16" t="s">
        <v>39</v>
      </c>
      <c r="L568" s="16" t="s">
        <v>40</v>
      </c>
      <c r="M568" s="16" t="s">
        <v>1860</v>
      </c>
      <c r="N568" s="16" t="s">
        <v>58</v>
      </c>
      <c r="O568" s="16">
        <v>2</v>
      </c>
      <c r="P568" s="18">
        <v>2617.89</v>
      </c>
      <c r="Q568" s="19">
        <v>0.1</v>
      </c>
      <c r="R568" s="19">
        <v>0.1</v>
      </c>
      <c r="S568" s="18">
        <v>4712.2</v>
      </c>
      <c r="T568" s="18">
        <v>3851.91</v>
      </c>
      <c r="U568" s="18">
        <v>860.29</v>
      </c>
      <c r="V568" s="16" t="s">
        <v>178</v>
      </c>
      <c r="W568" s="16" t="s">
        <v>122</v>
      </c>
      <c r="X568" s="18">
        <f>IF(OR(O568="",P568="",R568=""),"",O568*P568*(1-R568))</f>
        <v>4712.2</v>
      </c>
      <c r="Y568" s="18">
        <f>IF(OR(X568="",T568=""),"",X568-T568)</f>
        <v>860.29</v>
      </c>
      <c r="Z568" s="19">
        <f>IFERROR(Y568/X568,"")</f>
        <v>0.1826</v>
      </c>
      <c r="AA568" s="16">
        <f>IF(OR(C568="",D568=""),"",D568-C568)</f>
        <v>8</v>
      </c>
      <c r="AB568" s="16">
        <f>IF(C568="","",MONTH(C568))</f>
        <v>8</v>
      </c>
      <c r="AC568" s="16">
        <f>IF(C568="","",YEAR(C568))</f>
        <v>2024</v>
      </c>
      <c r="AD568" s="16" t="s">
        <v>86</v>
      </c>
      <c r="AE568" s="16" t="s">
        <v>66</v>
      </c>
      <c r="AF568" s="16" t="s">
        <v>179</v>
      </c>
    </row>
    <row r="569" spans="1:32" x14ac:dyDescent="0.25">
      <c r="A569" s="1">
        <v>569</v>
      </c>
      <c r="B569" s="1" t="s">
        <v>1861</v>
      </c>
      <c r="C569" s="2">
        <v>45327.77083333333</v>
      </c>
      <c r="D569" s="2">
        <v>45331.77083333333</v>
      </c>
      <c r="E569" s="1" t="s">
        <v>1862</v>
      </c>
      <c r="F569" s="1" t="s">
        <v>70</v>
      </c>
      <c r="G569" s="1" t="s">
        <v>114</v>
      </c>
      <c r="H569" s="1" t="s">
        <v>36</v>
      </c>
      <c r="I569" s="1" t="s">
        <v>157</v>
      </c>
      <c r="J569" s="1" t="s">
        <v>158</v>
      </c>
      <c r="K569" s="1" t="s">
        <v>55</v>
      </c>
      <c r="L569" s="1" t="s">
        <v>74</v>
      </c>
      <c r="M569" s="1" t="s">
        <v>640</v>
      </c>
      <c r="N569" s="1" t="s">
        <v>58</v>
      </c>
      <c r="O569" s="1">
        <v>1</v>
      </c>
      <c r="P569" s="3">
        <v>1374.06</v>
      </c>
      <c r="Q569" s="4">
        <v>0.05</v>
      </c>
      <c r="R569" s="4">
        <v>0.05</v>
      </c>
      <c r="S569" s="3">
        <v>1305.36</v>
      </c>
      <c r="T569" s="3">
        <v>731.89</v>
      </c>
      <c r="U569" s="3">
        <v>573.47</v>
      </c>
      <c r="V569" s="1" t="s">
        <v>43</v>
      </c>
      <c r="W569" s="1" t="s">
        <v>44</v>
      </c>
      <c r="X569" s="3">
        <f>IF(OR(O569="",P569="",R569=""),"",O569*P569*(1-R569))</f>
        <v>1305.36</v>
      </c>
      <c r="Y569" s="3">
        <f>IF(OR(X569="",T569=""),"",X569-T569)</f>
        <v>573.47</v>
      </c>
      <c r="Z569" s="4">
        <f>IFERROR(Y569/X569,"")</f>
        <v>0.4393</v>
      </c>
      <c r="AA569" s="1">
        <f>IF(OR(C569="",D569=""),"",D569-C569)</f>
        <v>4</v>
      </c>
      <c r="AB569" s="1">
        <f>IF(C569="","",MONTH(C569))</f>
        <v>2</v>
      </c>
      <c r="AC569" s="1">
        <f>IF(C569="","",YEAR(C569))</f>
        <v>2024</v>
      </c>
      <c r="AD569" s="1" t="s">
        <v>45</v>
      </c>
      <c r="AE569" s="1" t="s">
        <v>46</v>
      </c>
      <c r="AF569" s="1" t="s">
        <v>47</v>
      </c>
    </row>
    <row r="570" spans="1:32" x14ac:dyDescent="0.25">
      <c r="A570" s="1">
        <v>570</v>
      </c>
      <c r="B570" s="1" t="s">
        <v>1863</v>
      </c>
      <c r="C570" s="2">
        <v>45311.77083333333</v>
      </c>
      <c r="D570" s="2">
        <v>45314.77083333333</v>
      </c>
      <c r="E570" s="1" t="s">
        <v>1864</v>
      </c>
      <c r="F570" s="1" t="s">
        <v>294</v>
      </c>
      <c r="G570" s="1" t="s">
        <v>109</v>
      </c>
      <c r="H570" s="1" t="s">
        <v>36</v>
      </c>
      <c r="I570" s="1" t="s">
        <v>143</v>
      </c>
      <c r="J570" s="1" t="s">
        <v>144</v>
      </c>
      <c r="K570" s="1" t="s">
        <v>93</v>
      </c>
      <c r="L570" s="1" t="s">
        <v>305</v>
      </c>
      <c r="M570" s="1" t="s">
        <v>1865</v>
      </c>
      <c r="N570" s="1" t="s">
        <v>58</v>
      </c>
      <c r="O570" s="1">
        <v>1</v>
      </c>
      <c r="P570" s="3">
        <v>3806.3</v>
      </c>
      <c r="Q570" s="4">
        <v>0.25</v>
      </c>
      <c r="R570" s="4">
        <v>0.25</v>
      </c>
      <c r="S570" s="3">
        <v>2854.73</v>
      </c>
      <c r="T570" s="3">
        <v>1968.12</v>
      </c>
      <c r="U570" s="3">
        <v>886.61</v>
      </c>
      <c r="V570" s="1" t="s">
        <v>43</v>
      </c>
      <c r="W570" s="1" t="s">
        <v>44</v>
      </c>
      <c r="X570" s="3">
        <f>IF(OR(O570="",P570="",R570=""),"",O570*P570*(1-R570))</f>
        <v>2854.73</v>
      </c>
      <c r="Y570" s="3">
        <f>IF(OR(X570="",T570=""),"",X570-T570)</f>
        <v>886.61</v>
      </c>
      <c r="Z570" s="4">
        <f>IFERROR(Y570/X570,"")</f>
        <v>0.3106</v>
      </c>
      <c r="AA570" s="1">
        <f>IF(OR(C570="",D570=""),"",D570-C570)</f>
        <v>3</v>
      </c>
      <c r="AB570" s="1">
        <f>IF(C570="","",MONTH(C570))</f>
        <v>1</v>
      </c>
      <c r="AC570" s="1">
        <f>IF(C570="","",YEAR(C570))</f>
        <v>2024</v>
      </c>
      <c r="AD570" s="1" t="s">
        <v>45</v>
      </c>
      <c r="AE570" s="1" t="s">
        <v>46</v>
      </c>
      <c r="AF570" s="1" t="s">
        <v>47</v>
      </c>
    </row>
    <row r="571" spans="1:32" s="15" customFormat="1" x14ac:dyDescent="0.25">
      <c r="A571" s="16">
        <v>571</v>
      </c>
      <c r="B571" s="16" t="s">
        <v>1866</v>
      </c>
      <c r="C571" s="17">
        <v>45907.77083333333</v>
      </c>
      <c r="D571" s="17">
        <v>45909.77083333333</v>
      </c>
      <c r="E571" s="16" t="s">
        <v>1867</v>
      </c>
      <c r="F571" s="16" t="s">
        <v>139</v>
      </c>
      <c r="G571" s="16" t="s">
        <v>114</v>
      </c>
      <c r="H571" s="16" t="s">
        <v>80</v>
      </c>
      <c r="I571" s="16" t="s">
        <v>81</v>
      </c>
      <c r="J571" s="16" t="s">
        <v>82</v>
      </c>
      <c r="K571" s="16" t="s">
        <v>55</v>
      </c>
      <c r="L571" s="16" t="s">
        <v>74</v>
      </c>
      <c r="M571" s="16" t="s">
        <v>1868</v>
      </c>
      <c r="N571" s="16" t="s">
        <v>76</v>
      </c>
      <c r="O571" s="16">
        <v>6</v>
      </c>
      <c r="P571" s="18">
        <v>3251.17</v>
      </c>
      <c r="Q571" s="19">
        <v>0.25</v>
      </c>
      <c r="R571" s="19">
        <v>0.25</v>
      </c>
      <c r="S571" s="18">
        <v>14630.26</v>
      </c>
      <c r="T571" s="18">
        <v>11906.36</v>
      </c>
      <c r="U571" s="18">
        <v>2723.9</v>
      </c>
      <c r="V571" s="16" t="s">
        <v>121</v>
      </c>
      <c r="W571" s="16" t="s">
        <v>122</v>
      </c>
      <c r="X571" s="18">
        <f>IF(OR(O571="",P571="",R571=""),"",O571*P571*(1-R571))</f>
        <v>14630.27</v>
      </c>
      <c r="Y571" s="18">
        <f>IF(OR(X571="",T571=""),"",X571-T571)</f>
        <v>2723.91</v>
      </c>
      <c r="Z571" s="19">
        <f>IFERROR(Y571/X571,"")</f>
        <v>0.1862</v>
      </c>
      <c r="AA571" s="16">
        <f>IF(OR(C571="",D571=""),"",D571-C571)</f>
        <v>2</v>
      </c>
      <c r="AB571" s="16">
        <f>IF(C571="","",MONTH(C571))</f>
        <v>9</v>
      </c>
      <c r="AC571" s="16">
        <f>IF(C571="","",YEAR(C571))</f>
        <v>2025</v>
      </c>
      <c r="AD571" s="16" t="s">
        <v>86</v>
      </c>
      <c r="AE571" s="16" t="s">
        <v>66</v>
      </c>
      <c r="AF571" s="16" t="s">
        <v>123</v>
      </c>
    </row>
    <row r="572" spans="1:32" s="15" customFormat="1" x14ac:dyDescent="0.25">
      <c r="A572" s="16">
        <v>572</v>
      </c>
      <c r="B572" s="16" t="s">
        <v>1869</v>
      </c>
      <c r="C572" s="17">
        <v>45886.77083333333</v>
      </c>
      <c r="D572" s="17">
        <v>45890.77083333333</v>
      </c>
      <c r="E572" s="16" t="s">
        <v>1870</v>
      </c>
      <c r="F572" s="16" t="s">
        <v>70</v>
      </c>
      <c r="G572" s="16" t="s">
        <v>35</v>
      </c>
      <c r="H572" s="16" t="s">
        <v>52</v>
      </c>
      <c r="I572" s="16" t="s">
        <v>258</v>
      </c>
      <c r="J572" s="16" t="s">
        <v>259</v>
      </c>
      <c r="K572" s="16" t="s">
        <v>55</v>
      </c>
      <c r="L572" s="16" t="s">
        <v>74</v>
      </c>
      <c r="M572" s="16" t="s">
        <v>1871</v>
      </c>
      <c r="N572" s="16" t="s">
        <v>42</v>
      </c>
      <c r="O572" s="16">
        <v>3</v>
      </c>
      <c r="P572" s="18">
        <v>3946.44</v>
      </c>
      <c r="Q572" s="19">
        <v>0.25</v>
      </c>
      <c r="R572" s="19">
        <v>0.25</v>
      </c>
      <c r="S572" s="18">
        <v>8879.49</v>
      </c>
      <c r="T572" s="18">
        <v>6344.57</v>
      </c>
      <c r="U572" s="18">
        <v>2534.92</v>
      </c>
      <c r="V572" s="16" t="s">
        <v>178</v>
      </c>
      <c r="W572" s="16" t="s">
        <v>122</v>
      </c>
      <c r="X572" s="18">
        <f>IF(OR(O572="",P572="",R572=""),"",O572*P572*(1-R572))</f>
        <v>8879.49</v>
      </c>
      <c r="Y572" s="18">
        <f>IF(OR(X572="",T572=""),"",X572-T572)</f>
        <v>2534.92</v>
      </c>
      <c r="Z572" s="19">
        <f>IFERROR(Y572/X572,"")</f>
        <v>0.2855</v>
      </c>
      <c r="AA572" s="16">
        <f>IF(OR(C572="",D572=""),"",D572-C572)</f>
        <v>4</v>
      </c>
      <c r="AB572" s="16">
        <f>IF(C572="","",MONTH(C572))</f>
        <v>8</v>
      </c>
      <c r="AC572" s="16">
        <f>IF(C572="","",YEAR(C572))</f>
        <v>2025</v>
      </c>
      <c r="AD572" s="16" t="s">
        <v>86</v>
      </c>
      <c r="AE572" s="16" t="s">
        <v>66</v>
      </c>
      <c r="AF572" s="16" t="s">
        <v>179</v>
      </c>
    </row>
    <row r="573" spans="1:32" s="10" customFormat="1" x14ac:dyDescent="0.25">
      <c r="A573" s="11">
        <v>573</v>
      </c>
      <c r="B573" s="11" t="s">
        <v>1872</v>
      </c>
      <c r="C573" s="12">
        <v>45697.77083333333</v>
      </c>
      <c r="D573" s="12">
        <v>45701.77083333333</v>
      </c>
      <c r="E573" s="11" t="s">
        <v>1873</v>
      </c>
      <c r="F573" s="11" t="s">
        <v>135</v>
      </c>
      <c r="G573" s="11" t="s">
        <v>51</v>
      </c>
      <c r="H573" s="11" t="s">
        <v>36</v>
      </c>
      <c r="I573" s="11" t="s">
        <v>157</v>
      </c>
      <c r="J573" s="11" t="s">
        <v>158</v>
      </c>
      <c r="K573" s="11" t="s">
        <v>93</v>
      </c>
      <c r="L573" s="11" t="s">
        <v>196</v>
      </c>
      <c r="M573" s="11" t="s">
        <v>1874</v>
      </c>
      <c r="N573" s="11" t="s">
        <v>232</v>
      </c>
      <c r="O573" s="11">
        <v>5</v>
      </c>
      <c r="P573" s="13">
        <v>4276.29</v>
      </c>
      <c r="Q573" s="14">
        <v>0</v>
      </c>
      <c r="R573" s="14">
        <v>0</v>
      </c>
      <c r="S573" s="13">
        <v>21381.45</v>
      </c>
      <c r="T573" s="13">
        <v>13240.21</v>
      </c>
      <c r="U573" s="13">
        <v>8141.24</v>
      </c>
      <c r="V573" s="11" t="s">
        <v>178</v>
      </c>
      <c r="W573" s="11" t="s">
        <v>122</v>
      </c>
      <c r="X573" s="13">
        <f>IF(OR(O573="",P573="",R573=""),"",O573*P573*(1-R573))</f>
        <v>21381.45</v>
      </c>
      <c r="Y573" s="13">
        <f>IF(OR(X573="",T573=""),"",X573-T573)</f>
        <v>8141.24</v>
      </c>
      <c r="Z573" s="14">
        <f>IFERROR(Y573/X573,"")</f>
        <v>0.3808</v>
      </c>
      <c r="AA573" s="11">
        <f>IF(OR(C573="",D573=""),"",D573-C573)</f>
        <v>4</v>
      </c>
      <c r="AB573" s="11">
        <f>IF(C573="","",MONTH(C573))</f>
        <v>2</v>
      </c>
      <c r="AC573" s="11">
        <f>IF(C573="","",YEAR(C573))</f>
        <v>2025</v>
      </c>
      <c r="AD573" s="11" t="s">
        <v>65</v>
      </c>
      <c r="AE573" s="11" t="s">
        <v>66</v>
      </c>
      <c r="AF573" s="11" t="s">
        <v>1875</v>
      </c>
    </row>
    <row r="574" spans="1:32" x14ac:dyDescent="0.25">
      <c r="A574" s="1">
        <v>574</v>
      </c>
      <c r="B574" s="1" t="s">
        <v>1876</v>
      </c>
      <c r="C574" s="2">
        <v>45292.77083333333</v>
      </c>
      <c r="D574" s="2">
        <v>45299.77083333333</v>
      </c>
      <c r="E574" s="1" t="s">
        <v>1877</v>
      </c>
      <c r="F574" s="1" t="s">
        <v>186</v>
      </c>
      <c r="G574" s="1" t="s">
        <v>109</v>
      </c>
      <c r="H574" s="1" t="s">
        <v>36</v>
      </c>
      <c r="I574" s="1" t="s">
        <v>384</v>
      </c>
      <c r="J574" s="1" t="s">
        <v>385</v>
      </c>
      <c r="K574" s="1" t="s">
        <v>93</v>
      </c>
      <c r="L574" s="1" t="s">
        <v>196</v>
      </c>
      <c r="M574" s="1" t="s">
        <v>1878</v>
      </c>
      <c r="N574" s="1" t="s">
        <v>76</v>
      </c>
      <c r="O574" s="1">
        <v>3</v>
      </c>
      <c r="P574" s="3">
        <v>739.56</v>
      </c>
      <c r="Q574" s="4">
        <v>0.2</v>
      </c>
      <c r="R574" s="4">
        <v>0.2</v>
      </c>
      <c r="S574" s="3">
        <v>1774.94</v>
      </c>
      <c r="T574" s="3">
        <v>1007.4</v>
      </c>
      <c r="U574" s="3">
        <v>767.54</v>
      </c>
      <c r="V574" s="1" t="s">
        <v>43</v>
      </c>
      <c r="W574" s="1" t="s">
        <v>44</v>
      </c>
      <c r="X574" s="3">
        <f>IF(OR(O574="",P574="",R574=""),"",O574*P574*(1-R574))</f>
        <v>1774.94</v>
      </c>
      <c r="Y574" s="3">
        <f>IF(OR(X574="",T574=""),"",X574-T574)</f>
        <v>767.54</v>
      </c>
      <c r="Z574" s="4">
        <f>IFERROR(Y574/X574,"")</f>
        <v>0.4324</v>
      </c>
      <c r="AA574" s="1">
        <f>IF(OR(C574="",D574=""),"",D574-C574)</f>
        <v>7</v>
      </c>
      <c r="AB574" s="1">
        <f>IF(C574="","",MONTH(C574))</f>
        <v>1</v>
      </c>
      <c r="AC574" s="1">
        <f>IF(C574="","",YEAR(C574))</f>
        <v>2024</v>
      </c>
      <c r="AD574" s="1" t="s">
        <v>45</v>
      </c>
      <c r="AE574" s="1" t="s">
        <v>46</v>
      </c>
      <c r="AF574" s="1" t="s">
        <v>47</v>
      </c>
    </row>
    <row r="575" spans="1:32" x14ac:dyDescent="0.25">
      <c r="A575" s="1">
        <v>575</v>
      </c>
      <c r="B575" s="1" t="s">
        <v>1879</v>
      </c>
      <c r="C575" s="2">
        <v>45921.77083333333</v>
      </c>
      <c r="D575" s="2">
        <v>45925.77083333333</v>
      </c>
      <c r="E575" s="1" t="s">
        <v>1880</v>
      </c>
      <c r="F575" s="1" t="s">
        <v>61</v>
      </c>
      <c r="G575" s="1" t="s">
        <v>35</v>
      </c>
      <c r="H575" s="1" t="s">
        <v>71</v>
      </c>
      <c r="I575" s="1" t="s">
        <v>103</v>
      </c>
      <c r="J575" s="1" t="s">
        <v>104</v>
      </c>
      <c r="K575" s="1" t="s">
        <v>93</v>
      </c>
      <c r="L575" s="1" t="s">
        <v>196</v>
      </c>
      <c r="M575" s="1" t="s">
        <v>1881</v>
      </c>
      <c r="N575" s="1" t="s">
        <v>76</v>
      </c>
      <c r="O575" s="1">
        <v>1</v>
      </c>
      <c r="P575" s="3">
        <v>573.65</v>
      </c>
      <c r="Q575" s="4">
        <v>0</v>
      </c>
      <c r="R575" s="4">
        <v>0</v>
      </c>
      <c r="S575" s="3">
        <v>573.65</v>
      </c>
      <c r="T575" s="3">
        <v>322.67</v>
      </c>
      <c r="U575" s="3">
        <v>250.98</v>
      </c>
      <c r="V575" s="1" t="s">
        <v>43</v>
      </c>
      <c r="W575" s="1" t="s">
        <v>44</v>
      </c>
      <c r="X575" s="3">
        <f>IF(OR(O575="",P575="",R575=""),"",O575*P575*(1-R575))</f>
        <v>573.65</v>
      </c>
      <c r="Y575" s="3">
        <f>IF(OR(X575="",T575=""),"",X575-T575)</f>
        <v>250.98</v>
      </c>
      <c r="Z575" s="4">
        <f>IFERROR(Y575/X575,"")</f>
        <v>0.4375</v>
      </c>
      <c r="AA575" s="1">
        <f>IF(OR(C575="",D575=""),"",D575-C575)</f>
        <v>4</v>
      </c>
      <c r="AB575" s="1">
        <f>IF(C575="","",MONTH(C575))</f>
        <v>9</v>
      </c>
      <c r="AC575" s="1">
        <f>IF(C575="","",YEAR(C575))</f>
        <v>2025</v>
      </c>
      <c r="AD575" s="1" t="s">
        <v>45</v>
      </c>
      <c r="AE575" s="1" t="s">
        <v>46</v>
      </c>
      <c r="AF575" s="1" t="s">
        <v>47</v>
      </c>
    </row>
    <row r="576" spans="1:32" x14ac:dyDescent="0.25">
      <c r="A576" s="1">
        <v>576</v>
      </c>
      <c r="B576" s="1" t="s">
        <v>1882</v>
      </c>
      <c r="C576" s="2">
        <v>45341.77083333333</v>
      </c>
      <c r="D576" s="2">
        <v>45346.77083333333</v>
      </c>
      <c r="E576" s="1" t="s">
        <v>849</v>
      </c>
      <c r="F576" s="1" t="s">
        <v>186</v>
      </c>
      <c r="G576" s="1" t="s">
        <v>114</v>
      </c>
      <c r="H576" s="1" t="s">
        <v>36</v>
      </c>
      <c r="I576" s="1" t="s">
        <v>143</v>
      </c>
      <c r="J576" s="1" t="s">
        <v>144</v>
      </c>
      <c r="K576" s="1" t="s">
        <v>93</v>
      </c>
      <c r="L576" s="1" t="s">
        <v>305</v>
      </c>
      <c r="M576" s="1" t="s">
        <v>1883</v>
      </c>
      <c r="N576" s="1" t="s">
        <v>76</v>
      </c>
      <c r="O576" s="1">
        <v>4</v>
      </c>
      <c r="P576" s="3">
        <v>1355.8</v>
      </c>
      <c r="Q576" s="4">
        <v>0</v>
      </c>
      <c r="R576" s="4">
        <v>0</v>
      </c>
      <c r="S576" s="3">
        <v>5423.2</v>
      </c>
      <c r="T576" s="3">
        <v>4072.44</v>
      </c>
      <c r="U576" s="3">
        <v>1350.76</v>
      </c>
      <c r="V576" s="1" t="s">
        <v>43</v>
      </c>
      <c r="W576" s="1" t="s">
        <v>44</v>
      </c>
      <c r="X576" s="3">
        <f>IF(OR(O576="",P576="",R576=""),"",O576*P576*(1-R576))</f>
        <v>5423.2</v>
      </c>
      <c r="Y576" s="3">
        <f>IF(OR(X576="",T576=""),"",X576-T576)</f>
        <v>1350.76</v>
      </c>
      <c r="Z576" s="4">
        <f>IFERROR(Y576/X576,"")</f>
        <v>0.2491</v>
      </c>
      <c r="AA576" s="1">
        <f>IF(OR(C576="",D576=""),"",D576-C576)</f>
        <v>5</v>
      </c>
      <c r="AB576" s="1">
        <f>IF(C576="","",MONTH(C576))</f>
        <v>2</v>
      </c>
      <c r="AC576" s="1">
        <f>IF(C576="","",YEAR(C576))</f>
        <v>2024</v>
      </c>
      <c r="AD576" s="1" t="s">
        <v>45</v>
      </c>
      <c r="AE576" s="1" t="s">
        <v>46</v>
      </c>
      <c r="AF576" s="1" t="s">
        <v>47</v>
      </c>
    </row>
    <row r="577" spans="1:32" s="15" customFormat="1" x14ac:dyDescent="0.25">
      <c r="A577" s="16">
        <v>577</v>
      </c>
      <c r="B577" s="16" t="s">
        <v>1884</v>
      </c>
      <c r="C577" s="17">
        <v>45726.77083333333</v>
      </c>
      <c r="D577" s="17">
        <v>45729.77083333333</v>
      </c>
      <c r="E577" s="16" t="s">
        <v>1885</v>
      </c>
      <c r="F577" s="16" t="s">
        <v>153</v>
      </c>
      <c r="G577" s="16" t="s">
        <v>114</v>
      </c>
      <c r="H577" s="16" t="s">
        <v>71</v>
      </c>
      <c r="I577" s="16" t="s">
        <v>211</v>
      </c>
      <c r="J577" s="16" t="s">
        <v>212</v>
      </c>
      <c r="K577" s="16" t="s">
        <v>55</v>
      </c>
      <c r="L577" s="16" t="s">
        <v>74</v>
      </c>
      <c r="M577" s="16" t="s">
        <v>1886</v>
      </c>
      <c r="N577" s="16" t="s">
        <v>58</v>
      </c>
      <c r="O577" s="16">
        <v>4</v>
      </c>
      <c r="P577" s="18">
        <v>1244.82</v>
      </c>
      <c r="Q577" s="19">
        <v>0.2</v>
      </c>
      <c r="R577" s="19">
        <v>0.2</v>
      </c>
      <c r="S577" s="18">
        <v>3983.42</v>
      </c>
      <c r="T577" s="18">
        <v>3174.91</v>
      </c>
      <c r="U577" s="18">
        <v>808.51</v>
      </c>
      <c r="V577" s="16" t="s">
        <v>178</v>
      </c>
      <c r="W577" s="16" t="s">
        <v>122</v>
      </c>
      <c r="X577" s="18">
        <f>IF(OR(O577="",P577="",R577=""),"",O577*P577*(1-R577))</f>
        <v>3983.42</v>
      </c>
      <c r="Y577" s="18">
        <f>IF(OR(X577="",T577=""),"",X577-T577)</f>
        <v>808.51</v>
      </c>
      <c r="Z577" s="19">
        <f>IFERROR(Y577/X577,"")</f>
        <v>0.203</v>
      </c>
      <c r="AA577" s="16">
        <f>IF(OR(C577="",D577=""),"",D577-C577)</f>
        <v>3</v>
      </c>
      <c r="AB577" s="16">
        <f>IF(C577="","",MONTH(C577))</f>
        <v>3</v>
      </c>
      <c r="AC577" s="16">
        <f>IF(C577="","",YEAR(C577))</f>
        <v>2025</v>
      </c>
      <c r="AD577" s="16" t="s">
        <v>86</v>
      </c>
      <c r="AE577" s="16" t="s">
        <v>66</v>
      </c>
      <c r="AF577" s="16" t="s">
        <v>179</v>
      </c>
    </row>
    <row r="578" spans="1:32" s="15" customFormat="1" x14ac:dyDescent="0.25">
      <c r="A578" s="16">
        <v>578</v>
      </c>
      <c r="B578" s="16" t="s">
        <v>1887</v>
      </c>
      <c r="C578" s="17">
        <v>45338.77083333333</v>
      </c>
      <c r="D578" s="17">
        <v>45344.77083333333</v>
      </c>
      <c r="E578" s="16" t="s">
        <v>1888</v>
      </c>
      <c r="F578" s="16" t="s">
        <v>163</v>
      </c>
      <c r="G578" s="16" t="s">
        <v>114</v>
      </c>
      <c r="H578" s="16" t="s">
        <v>232</v>
      </c>
      <c r="I578" s="16" t="s">
        <v>168</v>
      </c>
      <c r="J578" s="16" t="s">
        <v>169</v>
      </c>
      <c r="K578" s="16" t="s">
        <v>39</v>
      </c>
      <c r="L578" s="16" t="s">
        <v>176</v>
      </c>
      <c r="M578" s="16" t="s">
        <v>1889</v>
      </c>
      <c r="N578" s="16" t="s">
        <v>76</v>
      </c>
      <c r="O578" s="16">
        <v>9</v>
      </c>
      <c r="P578" s="18">
        <v>2614.46</v>
      </c>
      <c r="Q578" s="19">
        <v>0</v>
      </c>
      <c r="R578" s="19">
        <v>0</v>
      </c>
      <c r="S578" s="18">
        <v>23530.14</v>
      </c>
      <c r="T578" s="18">
        <v>19537.79</v>
      </c>
      <c r="U578" s="18">
        <v>3992.35</v>
      </c>
      <c r="V578" s="16" t="s">
        <v>121</v>
      </c>
      <c r="W578" s="16" t="s">
        <v>122</v>
      </c>
      <c r="X578" s="18">
        <f>IF(OR(O578="",P578="",R578=""),"",O578*P578*(1-R578))</f>
        <v>23530.14</v>
      </c>
      <c r="Y578" s="18">
        <f>IF(OR(X578="",T578=""),"",X578-T578)</f>
        <v>3992.35</v>
      </c>
      <c r="Z578" s="19">
        <f>IFERROR(Y578/X578,"")</f>
        <v>0.1697</v>
      </c>
      <c r="AA578" s="16">
        <f>IF(OR(C578="",D578=""),"",D578-C578)</f>
        <v>6</v>
      </c>
      <c r="AB578" s="16">
        <f>IF(C578="","",MONTH(C578))</f>
        <v>2</v>
      </c>
      <c r="AC578" s="16">
        <f>IF(C578="","",YEAR(C578))</f>
        <v>2024</v>
      </c>
      <c r="AD578" s="16" t="s">
        <v>86</v>
      </c>
      <c r="AE578" s="16" t="s">
        <v>66</v>
      </c>
      <c r="AF578" s="16" t="s">
        <v>1595</v>
      </c>
    </row>
    <row r="579" spans="1:32" x14ac:dyDescent="0.25">
      <c r="A579" s="1">
        <v>579</v>
      </c>
      <c r="B579" s="1" t="s">
        <v>1890</v>
      </c>
      <c r="C579" s="2">
        <v>45896.77083333333</v>
      </c>
      <c r="D579" s="2">
        <v>45902.77083333333</v>
      </c>
      <c r="E579" s="1" t="s">
        <v>1891</v>
      </c>
      <c r="F579" s="1" t="s">
        <v>135</v>
      </c>
      <c r="G579" s="1" t="s">
        <v>109</v>
      </c>
      <c r="H579" s="1" t="s">
        <v>80</v>
      </c>
      <c r="I579" s="1" t="s">
        <v>91</v>
      </c>
      <c r="J579" s="1" t="s">
        <v>92</v>
      </c>
      <c r="K579" s="1" t="s">
        <v>55</v>
      </c>
      <c r="L579" s="1" t="s">
        <v>74</v>
      </c>
      <c r="M579" s="1" t="s">
        <v>1892</v>
      </c>
      <c r="N579" s="1" t="s">
        <v>76</v>
      </c>
      <c r="O579" s="1">
        <v>7</v>
      </c>
      <c r="P579" s="3">
        <v>268.45</v>
      </c>
      <c r="Q579" s="4">
        <v>0</v>
      </c>
      <c r="R579" s="4">
        <v>0</v>
      </c>
      <c r="S579" s="3">
        <v>1879.15</v>
      </c>
      <c r="T579" s="3">
        <v>1134.9</v>
      </c>
      <c r="U579" s="3">
        <v>744.25</v>
      </c>
      <c r="V579" s="1" t="s">
        <v>43</v>
      </c>
      <c r="W579" s="1" t="s">
        <v>44</v>
      </c>
      <c r="X579" s="3">
        <f>IF(OR(O579="",P579="",R579=""),"",O579*P579*(1-R579))</f>
        <v>1879.15</v>
      </c>
      <c r="Y579" s="3">
        <f>IF(OR(X579="",T579=""),"",X579-T579)</f>
        <v>744.25</v>
      </c>
      <c r="Z579" s="4">
        <f>IFERROR(Y579/X579,"")</f>
        <v>0.3961</v>
      </c>
      <c r="AA579" s="1">
        <f>IF(OR(C579="",D579=""),"",D579-C579)</f>
        <v>6</v>
      </c>
      <c r="AB579" s="1">
        <f>IF(C579="","",MONTH(C579))</f>
        <v>8</v>
      </c>
      <c r="AC579" s="1">
        <f>IF(C579="","",YEAR(C579))</f>
        <v>2025</v>
      </c>
      <c r="AD579" s="1" t="s">
        <v>45</v>
      </c>
      <c r="AE579" s="1" t="s">
        <v>46</v>
      </c>
      <c r="AF579" s="1" t="s">
        <v>47</v>
      </c>
    </row>
    <row r="580" spans="1:32" x14ac:dyDescent="0.25">
      <c r="A580" s="1">
        <v>580</v>
      </c>
      <c r="B580" s="1" t="s">
        <v>1893</v>
      </c>
      <c r="C580" s="2">
        <v>45342.77083333333</v>
      </c>
      <c r="D580" s="2">
        <v>45344.77083333333</v>
      </c>
      <c r="E580" s="1" t="s">
        <v>327</v>
      </c>
      <c r="F580" s="1" t="s">
        <v>98</v>
      </c>
      <c r="G580" s="1" t="s">
        <v>51</v>
      </c>
      <c r="H580" s="1" t="s">
        <v>80</v>
      </c>
      <c r="I580" s="1" t="s">
        <v>206</v>
      </c>
      <c r="J580" s="1" t="s">
        <v>207</v>
      </c>
      <c r="K580" s="1" t="s">
        <v>93</v>
      </c>
      <c r="L580" s="1" t="s">
        <v>99</v>
      </c>
      <c r="M580" s="1" t="s">
        <v>1894</v>
      </c>
      <c r="N580" s="1" t="s">
        <v>64</v>
      </c>
      <c r="O580" s="1">
        <v>6</v>
      </c>
      <c r="P580" s="3">
        <v>2633.65</v>
      </c>
      <c r="Q580" s="4">
        <v>0.05</v>
      </c>
      <c r="R580" s="4">
        <v>0.05</v>
      </c>
      <c r="S580" s="3">
        <v>15011.81</v>
      </c>
      <c r="T580" s="3">
        <v>9660.36</v>
      </c>
      <c r="U580" s="3">
        <v>5351.45</v>
      </c>
      <c r="V580" s="1" t="s">
        <v>43</v>
      </c>
      <c r="W580" s="1" t="s">
        <v>44</v>
      </c>
      <c r="X580" s="3">
        <f>IF(OR(O580="",P580="",R580=""),"",O580*P580*(1-R580))</f>
        <v>15011.81</v>
      </c>
      <c r="Y580" s="3">
        <f>IF(OR(X580="",T580=""),"",X580-T580)</f>
        <v>5351.45</v>
      </c>
      <c r="Z580" s="4">
        <f>IFERROR(Y580/X580,"")</f>
        <v>0.3565</v>
      </c>
      <c r="AA580" s="1">
        <f>IF(OR(C580="",D580=""),"",D580-C580)</f>
        <v>2</v>
      </c>
      <c r="AB580" s="1">
        <f>IF(C580="","",MONTH(C580))</f>
        <v>2</v>
      </c>
      <c r="AC580" s="1">
        <f>IF(C580="","",YEAR(C580))</f>
        <v>2024</v>
      </c>
      <c r="AD580" s="1" t="s">
        <v>45</v>
      </c>
      <c r="AE580" s="1" t="s">
        <v>46</v>
      </c>
      <c r="AF580" s="1" t="s">
        <v>47</v>
      </c>
    </row>
    <row r="581" spans="1:32" x14ac:dyDescent="0.25">
      <c r="A581" s="1">
        <v>581</v>
      </c>
      <c r="B581" s="1" t="s">
        <v>1895</v>
      </c>
      <c r="C581" s="2">
        <v>45461.77083333333</v>
      </c>
      <c r="D581" s="2">
        <v>45466.77083333333</v>
      </c>
      <c r="E581" s="1" t="s">
        <v>1896</v>
      </c>
      <c r="F581" s="1" t="s">
        <v>149</v>
      </c>
      <c r="G581" s="1" t="s">
        <v>51</v>
      </c>
      <c r="H581" s="1" t="s">
        <v>71</v>
      </c>
      <c r="I581" s="1" t="s">
        <v>277</v>
      </c>
      <c r="J581" s="1" t="s">
        <v>278</v>
      </c>
      <c r="K581" s="1" t="s">
        <v>39</v>
      </c>
      <c r="L581" s="1" t="s">
        <v>145</v>
      </c>
      <c r="M581" s="1" t="s">
        <v>1897</v>
      </c>
      <c r="N581" s="1" t="s">
        <v>58</v>
      </c>
      <c r="O581" s="1">
        <v>1</v>
      </c>
      <c r="P581" s="3">
        <v>3202.41</v>
      </c>
      <c r="Q581" s="4">
        <v>0</v>
      </c>
      <c r="R581" s="4">
        <v>0</v>
      </c>
      <c r="S581" s="3">
        <v>3202.41</v>
      </c>
      <c r="T581" s="3">
        <v>2608.44</v>
      </c>
      <c r="U581" s="3">
        <v>593.97</v>
      </c>
      <c r="V581" s="1" t="s">
        <v>43</v>
      </c>
      <c r="W581" s="1" t="s">
        <v>44</v>
      </c>
      <c r="X581" s="3">
        <f>IF(OR(O581="",P581="",R581=""),"",O581*P581*(1-R581))</f>
        <v>3202.41</v>
      </c>
      <c r="Y581" s="3">
        <f>IF(OR(X581="",T581=""),"",X581-T581)</f>
        <v>593.97</v>
      </c>
      <c r="Z581" s="4">
        <f>IFERROR(Y581/X581,"")</f>
        <v>0.1855</v>
      </c>
      <c r="AA581" s="1">
        <f>IF(OR(C581="",D581=""),"",D581-C581)</f>
        <v>5</v>
      </c>
      <c r="AB581" s="1">
        <f>IF(C581="","",MONTH(C581))</f>
        <v>6</v>
      </c>
      <c r="AC581" s="1">
        <f>IF(C581="","",YEAR(C581))</f>
        <v>2024</v>
      </c>
      <c r="AD581" s="1" t="s">
        <v>45</v>
      </c>
      <c r="AE581" s="1" t="s">
        <v>46</v>
      </c>
      <c r="AF581" s="1" t="s">
        <v>47</v>
      </c>
    </row>
    <row r="582" spans="1:32" s="15" customFormat="1" x14ac:dyDescent="0.25">
      <c r="A582" s="16">
        <v>582</v>
      </c>
      <c r="B582" s="16" t="s">
        <v>1898</v>
      </c>
      <c r="C582" s="17">
        <v>45721.77083333333</v>
      </c>
      <c r="D582" s="17">
        <v>45728.77083333333</v>
      </c>
      <c r="E582" s="16" t="s">
        <v>1899</v>
      </c>
      <c r="F582" s="16" t="s">
        <v>294</v>
      </c>
      <c r="G582" s="16" t="s">
        <v>35</v>
      </c>
      <c r="H582" s="16" t="s">
        <v>71</v>
      </c>
      <c r="I582" s="16" t="s">
        <v>211</v>
      </c>
      <c r="J582" s="16" t="s">
        <v>212</v>
      </c>
      <c r="K582" s="16" t="s">
        <v>55</v>
      </c>
      <c r="L582" s="16" t="s">
        <v>83</v>
      </c>
      <c r="M582" s="16" t="s">
        <v>1900</v>
      </c>
      <c r="N582" s="16" t="s">
        <v>76</v>
      </c>
      <c r="O582" s="16">
        <v>3</v>
      </c>
      <c r="P582" s="18">
        <v>163.72</v>
      </c>
      <c r="Q582" s="19">
        <v>0.15</v>
      </c>
      <c r="R582" s="19">
        <v>0.15</v>
      </c>
      <c r="S582" s="18">
        <v>417.49</v>
      </c>
      <c r="T582" s="18">
        <v>261.67</v>
      </c>
      <c r="U582" s="18">
        <v>155.82</v>
      </c>
      <c r="V582" s="16" t="s">
        <v>178</v>
      </c>
      <c r="W582" s="16" t="s">
        <v>122</v>
      </c>
      <c r="X582" s="18">
        <f>IF(OR(O582="",P582="",R582=""),"",O582*P582*(1-R582))</f>
        <v>417.49</v>
      </c>
      <c r="Y582" s="18">
        <f>IF(OR(X582="",T582=""),"",X582-T582)</f>
        <v>155.82</v>
      </c>
      <c r="Z582" s="19">
        <f>IFERROR(Y582/X582,"")</f>
        <v>0.3732</v>
      </c>
      <c r="AA582" s="16">
        <f>IF(OR(C582="",D582=""),"",D582-C582)</f>
        <v>7</v>
      </c>
      <c r="AB582" s="16">
        <f>IF(C582="","",MONTH(C582))</f>
        <v>3</v>
      </c>
      <c r="AC582" s="16">
        <f>IF(C582="","",YEAR(C582))</f>
        <v>2025</v>
      </c>
      <c r="AD582" s="16" t="s">
        <v>86</v>
      </c>
      <c r="AE582" s="16" t="s">
        <v>66</v>
      </c>
      <c r="AF582" s="16" t="s">
        <v>179</v>
      </c>
    </row>
    <row r="583" spans="1:32" s="15" customFormat="1" x14ac:dyDescent="0.25">
      <c r="A583" s="16">
        <v>583</v>
      </c>
      <c r="B583" s="16" t="s">
        <v>1901</v>
      </c>
      <c r="C583" s="17">
        <v>45877.77083333333</v>
      </c>
      <c r="D583" s="17">
        <v>45878.77083333333</v>
      </c>
      <c r="E583" s="16" t="s">
        <v>1902</v>
      </c>
      <c r="F583" s="16" t="s">
        <v>98</v>
      </c>
      <c r="G583" s="16" t="s">
        <v>35</v>
      </c>
      <c r="H583" s="16" t="s">
        <v>36</v>
      </c>
      <c r="I583" s="16" t="s">
        <v>384</v>
      </c>
      <c r="J583" s="16" t="s">
        <v>385</v>
      </c>
      <c r="K583" s="16" t="s">
        <v>39</v>
      </c>
      <c r="L583" s="16" t="s">
        <v>62</v>
      </c>
      <c r="M583" s="16" t="s">
        <v>1903</v>
      </c>
      <c r="N583" s="16" t="s">
        <v>42</v>
      </c>
      <c r="O583" s="16">
        <v>4</v>
      </c>
      <c r="P583" s="18">
        <v>4080.95</v>
      </c>
      <c r="Q583" s="19">
        <v>0</v>
      </c>
      <c r="R583" s="19">
        <v>0</v>
      </c>
      <c r="S583" s="18">
        <v>16323.8</v>
      </c>
      <c r="T583" s="18">
        <v>9965.79</v>
      </c>
      <c r="U583" s="18">
        <v>6358.01</v>
      </c>
      <c r="V583" s="16" t="s">
        <v>121</v>
      </c>
      <c r="W583" s="16" t="s">
        <v>122</v>
      </c>
      <c r="X583" s="18">
        <f>IF(OR(O583="",P583="",R583=""),"",O583*P583*(1-R583))</f>
        <v>16323.8</v>
      </c>
      <c r="Y583" s="18">
        <f>IF(OR(X583="",T583=""),"",X583-T583)</f>
        <v>6358.01</v>
      </c>
      <c r="Z583" s="19">
        <f>IFERROR(Y583/X583,"")</f>
        <v>0.3895</v>
      </c>
      <c r="AA583" s="16">
        <f>IF(OR(C583="",D583=""),"",D583-C583)</f>
        <v>1</v>
      </c>
      <c r="AB583" s="16">
        <f>IF(C583="","",MONTH(C583))</f>
        <v>8</v>
      </c>
      <c r="AC583" s="16">
        <f>IF(C583="","",YEAR(C583))</f>
        <v>2025</v>
      </c>
      <c r="AD583" s="16" t="s">
        <v>86</v>
      </c>
      <c r="AE583" s="16" t="s">
        <v>66</v>
      </c>
      <c r="AF583" s="16" t="s">
        <v>123</v>
      </c>
    </row>
    <row r="584" spans="1:32" s="15" customFormat="1" x14ac:dyDescent="0.25">
      <c r="A584" s="16">
        <v>584</v>
      </c>
      <c r="B584" s="16" t="s">
        <v>1904</v>
      </c>
      <c r="C584" s="17">
        <v>45579.77083333333</v>
      </c>
      <c r="D584" s="17">
        <v>45584.77083333333</v>
      </c>
      <c r="E584" s="16" t="s">
        <v>1905</v>
      </c>
      <c r="F584" s="16" t="s">
        <v>79</v>
      </c>
      <c r="G584" s="16" t="s">
        <v>35</v>
      </c>
      <c r="H584" s="16" t="s">
        <v>52</v>
      </c>
      <c r="I584" s="16" t="s">
        <v>53</v>
      </c>
      <c r="J584" s="16" t="s">
        <v>54</v>
      </c>
      <c r="K584" s="16" t="s">
        <v>39</v>
      </c>
      <c r="L584" s="16" t="s">
        <v>62</v>
      </c>
      <c r="M584" s="16" t="s">
        <v>1906</v>
      </c>
      <c r="N584" s="16" t="s">
        <v>64</v>
      </c>
      <c r="O584" s="16">
        <v>5</v>
      </c>
      <c r="P584" s="18">
        <v>671.24</v>
      </c>
      <c r="Q584" s="19">
        <v>0</v>
      </c>
      <c r="R584" s="19">
        <v>0</v>
      </c>
      <c r="S584" s="18">
        <v>3356.2</v>
      </c>
      <c r="T584" s="18">
        <v>2205.72</v>
      </c>
      <c r="U584" s="18">
        <v>1150.48</v>
      </c>
      <c r="V584" s="16" t="s">
        <v>131</v>
      </c>
      <c r="W584" s="16" t="s">
        <v>122</v>
      </c>
      <c r="X584" s="18">
        <f>IF(OR(O584="",P584="",R584=""),"",O584*P584*(1-R584))</f>
        <v>3356.2</v>
      </c>
      <c r="Y584" s="18">
        <f>IF(OR(X584="",T584=""),"",X584-T584)</f>
        <v>1150.48</v>
      </c>
      <c r="Z584" s="19">
        <f>IFERROR(Y584/X584,"")</f>
        <v>0.3428</v>
      </c>
      <c r="AA584" s="16">
        <f>IF(OR(C584="",D584=""),"",D584-C584)</f>
        <v>5</v>
      </c>
      <c r="AB584" s="16">
        <f>IF(C584="","",MONTH(C584))</f>
        <v>10</v>
      </c>
      <c r="AC584" s="16">
        <f>IF(C584="","",YEAR(C584))</f>
        <v>2024</v>
      </c>
      <c r="AD584" s="16" t="s">
        <v>86</v>
      </c>
      <c r="AE584" s="16" t="s">
        <v>66</v>
      </c>
      <c r="AF584" s="16" t="s">
        <v>132</v>
      </c>
    </row>
    <row r="585" spans="1:32" s="15" customFormat="1" x14ac:dyDescent="0.25">
      <c r="A585" s="16">
        <v>585</v>
      </c>
      <c r="B585" s="16" t="s">
        <v>1907</v>
      </c>
      <c r="C585" s="17">
        <v>45349.77083333333</v>
      </c>
      <c r="D585" s="17">
        <v>45349.77083333333</v>
      </c>
      <c r="E585" s="16" t="s">
        <v>1908</v>
      </c>
      <c r="F585" s="16" t="s">
        <v>163</v>
      </c>
      <c r="G585" s="16" t="s">
        <v>51</v>
      </c>
      <c r="H585" s="16" t="s">
        <v>52</v>
      </c>
      <c r="I585" s="16" t="s">
        <v>118</v>
      </c>
      <c r="J585" s="16" t="s">
        <v>119</v>
      </c>
      <c r="K585" s="16" t="s">
        <v>39</v>
      </c>
      <c r="L585" s="16" t="s">
        <v>145</v>
      </c>
      <c r="M585" s="16" t="s">
        <v>1909</v>
      </c>
      <c r="N585" s="16" t="s">
        <v>64</v>
      </c>
      <c r="O585" s="16">
        <v>1</v>
      </c>
      <c r="P585" s="18">
        <v>2626.84</v>
      </c>
      <c r="Q585" s="19">
        <v>0.2</v>
      </c>
      <c r="R585" s="19">
        <v>0.2</v>
      </c>
      <c r="S585" s="18">
        <v>2101.47</v>
      </c>
      <c r="T585" s="18">
        <v>1217.83</v>
      </c>
      <c r="U585" s="18">
        <v>883.64</v>
      </c>
      <c r="V585" s="16" t="s">
        <v>178</v>
      </c>
      <c r="W585" s="16" t="s">
        <v>122</v>
      </c>
      <c r="X585" s="18">
        <f>IF(OR(O585="",P585="",R585=""),"",O585*P585*(1-R585))</f>
        <v>2101.47</v>
      </c>
      <c r="Y585" s="18">
        <f>IF(OR(X585="",T585=""),"",X585-T585)</f>
        <v>883.64</v>
      </c>
      <c r="Z585" s="19">
        <f>IFERROR(Y585/X585,"")</f>
        <v>0.4205</v>
      </c>
      <c r="AA585" s="16">
        <f>IF(OR(C585="",D585=""),"",D585-C585)</f>
        <v>0</v>
      </c>
      <c r="AB585" s="16">
        <f>IF(C585="","",MONTH(C585))</f>
        <v>2</v>
      </c>
      <c r="AC585" s="16">
        <f>IF(C585="","",YEAR(C585))</f>
        <v>2024</v>
      </c>
      <c r="AD585" s="16" t="s">
        <v>86</v>
      </c>
      <c r="AE585" s="16" t="s">
        <v>66</v>
      </c>
      <c r="AF585" s="16" t="s">
        <v>179</v>
      </c>
    </row>
    <row r="586" spans="1:32" s="15" customFormat="1" x14ac:dyDescent="0.25">
      <c r="A586" s="16">
        <v>586</v>
      </c>
      <c r="B586" s="16" t="s">
        <v>1910</v>
      </c>
      <c r="C586" s="17">
        <v>45507.77083333333</v>
      </c>
      <c r="D586" s="17">
        <v>45513.77083333333</v>
      </c>
      <c r="E586" s="16" t="s">
        <v>1911</v>
      </c>
      <c r="F586" s="16" t="s">
        <v>90</v>
      </c>
      <c r="G586" s="16" t="s">
        <v>35</v>
      </c>
      <c r="H586" s="16" t="s">
        <v>52</v>
      </c>
      <c r="I586" s="16" t="s">
        <v>168</v>
      </c>
      <c r="J586" s="16" t="s">
        <v>169</v>
      </c>
      <c r="K586" s="16" t="s">
        <v>39</v>
      </c>
      <c r="L586" s="16" t="s">
        <v>62</v>
      </c>
      <c r="M586" s="16" t="s">
        <v>1912</v>
      </c>
      <c r="N586" s="16" t="s">
        <v>58</v>
      </c>
      <c r="O586" s="16">
        <v>1</v>
      </c>
      <c r="P586" s="18">
        <v>984.93</v>
      </c>
      <c r="Q586" s="19">
        <v>0.15</v>
      </c>
      <c r="R586" s="19">
        <v>0.15</v>
      </c>
      <c r="S586" s="18">
        <v>837.19</v>
      </c>
      <c r="T586" s="18">
        <v>583.79</v>
      </c>
      <c r="U586" s="18">
        <v>253.4</v>
      </c>
      <c r="V586" s="16" t="s">
        <v>131</v>
      </c>
      <c r="W586" s="16" t="s">
        <v>122</v>
      </c>
      <c r="X586" s="18">
        <f>IF(OR(O586="",P586="",R586=""),"",O586*P586*(1-R586))</f>
        <v>837.19</v>
      </c>
      <c r="Y586" s="18">
        <f>IF(OR(X586="",T586=""),"",X586-T586)</f>
        <v>253.4</v>
      </c>
      <c r="Z586" s="19">
        <f>IFERROR(Y586/X586,"")</f>
        <v>0.3027</v>
      </c>
      <c r="AA586" s="16">
        <f>IF(OR(C586="",D586=""),"",D586-C586)</f>
        <v>6</v>
      </c>
      <c r="AB586" s="16">
        <f>IF(C586="","",MONTH(C586))</f>
        <v>8</v>
      </c>
      <c r="AC586" s="16">
        <f>IF(C586="","",YEAR(C586))</f>
        <v>2024</v>
      </c>
      <c r="AD586" s="16" t="s">
        <v>86</v>
      </c>
      <c r="AE586" s="16" t="s">
        <v>66</v>
      </c>
      <c r="AF586" s="16" t="s">
        <v>132</v>
      </c>
    </row>
    <row r="587" spans="1:32" x14ac:dyDescent="0.25">
      <c r="A587" s="1">
        <v>587</v>
      </c>
      <c r="B587" s="1" t="s">
        <v>1913</v>
      </c>
      <c r="C587" s="2">
        <v>45829.77083333333</v>
      </c>
      <c r="D587" s="2">
        <v>45832.77083333333</v>
      </c>
      <c r="E587" s="1" t="s">
        <v>1914</v>
      </c>
      <c r="F587" s="1" t="s">
        <v>186</v>
      </c>
      <c r="G587" s="1" t="s">
        <v>51</v>
      </c>
      <c r="H587" s="1" t="s">
        <v>80</v>
      </c>
      <c r="I587" s="1" t="s">
        <v>81</v>
      </c>
      <c r="J587" s="1" t="s">
        <v>82</v>
      </c>
      <c r="K587" s="1" t="s">
        <v>93</v>
      </c>
      <c r="L587" s="1" t="s">
        <v>196</v>
      </c>
      <c r="M587" s="1" t="s">
        <v>1915</v>
      </c>
      <c r="N587" s="1" t="s">
        <v>64</v>
      </c>
      <c r="O587" s="1">
        <v>8</v>
      </c>
      <c r="P587" s="3">
        <v>3453.66</v>
      </c>
      <c r="Q587" s="4">
        <v>0</v>
      </c>
      <c r="R587" s="4">
        <v>0</v>
      </c>
      <c r="S587" s="3">
        <v>27629.28</v>
      </c>
      <c r="T587" s="3">
        <v>22026.48</v>
      </c>
      <c r="U587" s="3">
        <v>5602.8</v>
      </c>
      <c r="V587" s="1" t="s">
        <v>43</v>
      </c>
      <c r="W587" s="1" t="s">
        <v>44</v>
      </c>
      <c r="X587" s="3">
        <f>IF(OR(O587="",P587="",R587=""),"",O587*P587*(1-R587))</f>
        <v>27629.28</v>
      </c>
      <c r="Y587" s="3">
        <f>IF(OR(X587="",T587=""),"",X587-T587)</f>
        <v>5602.8</v>
      </c>
      <c r="Z587" s="4">
        <f>IFERROR(Y587/X587,"")</f>
        <v>0.2028</v>
      </c>
      <c r="AA587" s="1">
        <f>IF(OR(C587="",D587=""),"",D587-C587)</f>
        <v>3</v>
      </c>
      <c r="AB587" s="1">
        <f>IF(C587="","",MONTH(C587))</f>
        <v>6</v>
      </c>
      <c r="AC587" s="1">
        <f>IF(C587="","",YEAR(C587))</f>
        <v>2025</v>
      </c>
      <c r="AD587" s="1" t="s">
        <v>45</v>
      </c>
      <c r="AE587" s="1" t="s">
        <v>46</v>
      </c>
      <c r="AF587" s="1" t="s">
        <v>47</v>
      </c>
    </row>
    <row r="588" spans="1:32" x14ac:dyDescent="0.25">
      <c r="A588" s="1">
        <v>588</v>
      </c>
      <c r="B588" s="1" t="s">
        <v>1916</v>
      </c>
      <c r="C588" s="2">
        <v>45758.77083333333</v>
      </c>
      <c r="D588" s="2">
        <v>45758.77083333333</v>
      </c>
      <c r="E588" s="1" t="s">
        <v>1917</v>
      </c>
      <c r="F588" s="1" t="s">
        <v>50</v>
      </c>
      <c r="G588" s="1" t="s">
        <v>114</v>
      </c>
      <c r="H588" s="1" t="s">
        <v>36</v>
      </c>
      <c r="I588" s="1" t="s">
        <v>143</v>
      </c>
      <c r="J588" s="1" t="s">
        <v>144</v>
      </c>
      <c r="K588" s="1" t="s">
        <v>39</v>
      </c>
      <c r="L588" s="1" t="s">
        <v>176</v>
      </c>
      <c r="M588" s="1" t="s">
        <v>1918</v>
      </c>
      <c r="N588" s="1" t="s">
        <v>42</v>
      </c>
      <c r="O588" s="1">
        <v>7</v>
      </c>
      <c r="P588" s="3">
        <v>1334.2</v>
      </c>
      <c r="Q588" s="4">
        <v>0.2</v>
      </c>
      <c r="R588" s="4">
        <v>0.2</v>
      </c>
      <c r="S588" s="3">
        <v>7471.52</v>
      </c>
      <c r="T588" s="3">
        <v>6184.32</v>
      </c>
      <c r="U588" s="3">
        <v>1287.2</v>
      </c>
      <c r="V588" s="1" t="s">
        <v>43</v>
      </c>
      <c r="W588" s="1" t="s">
        <v>44</v>
      </c>
      <c r="X588" s="3">
        <f>IF(OR(O588="",P588="",R588=""),"",O588*P588*(1-R588))</f>
        <v>7471.52</v>
      </c>
      <c r="Y588" s="3">
        <f>IF(OR(X588="",T588=""),"",X588-T588)</f>
        <v>1287.2</v>
      </c>
      <c r="Z588" s="4">
        <f>IFERROR(Y588/X588,"")</f>
        <v>0.1723</v>
      </c>
      <c r="AA588" s="1">
        <f>IF(OR(C588="",D588=""),"",D588-C588)</f>
        <v>0</v>
      </c>
      <c r="AB588" s="1">
        <f>IF(C588="","",MONTH(C588))</f>
        <v>4</v>
      </c>
      <c r="AC588" s="1">
        <f>IF(C588="","",YEAR(C588))</f>
        <v>2025</v>
      </c>
      <c r="AD588" s="1" t="s">
        <v>45</v>
      </c>
      <c r="AE588" s="1" t="s">
        <v>46</v>
      </c>
      <c r="AF588" s="1" t="s">
        <v>47</v>
      </c>
    </row>
    <row r="589" spans="1:32" s="15" customFormat="1" x14ac:dyDescent="0.25">
      <c r="A589" s="16">
        <v>589</v>
      </c>
      <c r="B589" s="16" t="s">
        <v>1919</v>
      </c>
      <c r="C589" s="17">
        <v>45860.77083333333</v>
      </c>
      <c r="D589" s="17">
        <v>45868.77083333333</v>
      </c>
      <c r="E589" s="16" t="s">
        <v>1920</v>
      </c>
      <c r="F589" s="16" t="s">
        <v>294</v>
      </c>
      <c r="G589" s="16" t="s">
        <v>114</v>
      </c>
      <c r="H589" s="16" t="s">
        <v>80</v>
      </c>
      <c r="I589" s="16" t="s">
        <v>91</v>
      </c>
      <c r="J589" s="16" t="s">
        <v>92</v>
      </c>
      <c r="K589" s="16" t="s">
        <v>93</v>
      </c>
      <c r="L589" s="16" t="s">
        <v>94</v>
      </c>
      <c r="M589" s="16" t="s">
        <v>1921</v>
      </c>
      <c r="N589" s="16" t="s">
        <v>64</v>
      </c>
      <c r="O589" s="16">
        <v>1</v>
      </c>
      <c r="P589" s="18">
        <v>4253.84</v>
      </c>
      <c r="Q589" s="19">
        <v>0.15</v>
      </c>
      <c r="R589" s="19">
        <v>0.15</v>
      </c>
      <c r="S589" s="18">
        <v>3615.76</v>
      </c>
      <c r="T589" s="18">
        <v>2951.52</v>
      </c>
      <c r="U589" s="18">
        <v>664.24</v>
      </c>
      <c r="V589" s="16" t="s">
        <v>121</v>
      </c>
      <c r="W589" s="16" t="s">
        <v>85</v>
      </c>
      <c r="X589" s="18">
        <f>IF(OR(O589="",P589="",R589=""),"",O589*P589*(1-R589))</f>
        <v>3615.76</v>
      </c>
      <c r="Y589" s="18">
        <f>IF(OR(X589="",T589=""),"",X589-T589)</f>
        <v>664.24</v>
      </c>
      <c r="Z589" s="19">
        <f>IFERROR(Y589/X589,"")</f>
        <v>0.1837</v>
      </c>
      <c r="AA589" s="16">
        <f>IF(OR(C589="",D589=""),"",D589-C589)</f>
        <v>8</v>
      </c>
      <c r="AB589" s="16">
        <f>IF(C589="","",MONTH(C589))</f>
        <v>7</v>
      </c>
      <c r="AC589" s="16">
        <f>IF(C589="","",YEAR(C589))</f>
        <v>2025</v>
      </c>
      <c r="AD589" s="16" t="s">
        <v>86</v>
      </c>
      <c r="AE589" s="16" t="s">
        <v>66</v>
      </c>
      <c r="AF589" s="16" t="s">
        <v>160</v>
      </c>
    </row>
    <row r="590" spans="1:32" s="15" customFormat="1" x14ac:dyDescent="0.25">
      <c r="A590" s="16">
        <v>590</v>
      </c>
      <c r="B590" s="16" t="s">
        <v>1922</v>
      </c>
      <c r="C590" s="17">
        <v>45726.77083333333</v>
      </c>
      <c r="D590" s="17">
        <v>45730.77083333333</v>
      </c>
      <c r="E590" s="16" t="s">
        <v>1923</v>
      </c>
      <c r="F590" s="16" t="s">
        <v>149</v>
      </c>
      <c r="G590" s="16" t="s">
        <v>114</v>
      </c>
      <c r="H590" s="16" t="s">
        <v>71</v>
      </c>
      <c r="I590" s="16" t="s">
        <v>201</v>
      </c>
      <c r="J590" s="16" t="s">
        <v>202</v>
      </c>
      <c r="K590" s="16" t="s">
        <v>93</v>
      </c>
      <c r="L590" s="16" t="s">
        <v>94</v>
      </c>
      <c r="M590" s="16" t="s">
        <v>1924</v>
      </c>
      <c r="N590" s="16" t="s">
        <v>42</v>
      </c>
      <c r="O590" s="16">
        <v>8</v>
      </c>
      <c r="P590" s="18">
        <v>4446.36</v>
      </c>
      <c r="Q590" s="19">
        <v>0.1</v>
      </c>
      <c r="R590" s="19">
        <v>0.1</v>
      </c>
      <c r="S590" s="18">
        <v>32013.79</v>
      </c>
      <c r="T590" s="18">
        <v>20896.88</v>
      </c>
      <c r="U590" s="18">
        <v>11116.91</v>
      </c>
      <c r="V590" s="16" t="s">
        <v>121</v>
      </c>
      <c r="W590" s="16" t="s">
        <v>85</v>
      </c>
      <c r="X590" s="18">
        <f>IF(OR(O590="",P590="",R590=""),"",O590*P590*(1-R590))</f>
        <v>32013.79</v>
      </c>
      <c r="Y590" s="18">
        <f>IF(OR(X590="",T590=""),"",X590-T590)</f>
        <v>11116.91</v>
      </c>
      <c r="Z590" s="19">
        <f>IFERROR(Y590/X590,"")</f>
        <v>0.3473</v>
      </c>
      <c r="AA590" s="16">
        <f>IF(OR(C590="",D590=""),"",D590-C590)</f>
        <v>4</v>
      </c>
      <c r="AB590" s="16">
        <f>IF(C590="","",MONTH(C590))</f>
        <v>3</v>
      </c>
      <c r="AC590" s="16">
        <f>IF(C590="","",YEAR(C590))</f>
        <v>2025</v>
      </c>
      <c r="AD590" s="16" t="s">
        <v>86</v>
      </c>
      <c r="AE590" s="16" t="s">
        <v>66</v>
      </c>
      <c r="AF590" s="16" t="s">
        <v>160</v>
      </c>
    </row>
    <row r="591" spans="1:32" x14ac:dyDescent="0.25">
      <c r="A591" s="1">
        <v>591</v>
      </c>
      <c r="B591" s="1" t="s">
        <v>1925</v>
      </c>
      <c r="C591" s="2">
        <v>45631.77083333333</v>
      </c>
      <c r="D591" s="2">
        <v>45637.77083333333</v>
      </c>
      <c r="E591" s="1" t="s">
        <v>1926</v>
      </c>
      <c r="F591" s="1" t="s">
        <v>163</v>
      </c>
      <c r="G591" s="1" t="s">
        <v>109</v>
      </c>
      <c r="H591" s="1" t="s">
        <v>36</v>
      </c>
      <c r="I591" s="1" t="s">
        <v>157</v>
      </c>
      <c r="J591" s="1" t="s">
        <v>158</v>
      </c>
      <c r="K591" s="1" t="s">
        <v>93</v>
      </c>
      <c r="L591" s="1" t="s">
        <v>196</v>
      </c>
      <c r="M591" s="1" t="s">
        <v>1927</v>
      </c>
      <c r="N591" s="1" t="s">
        <v>64</v>
      </c>
      <c r="O591" s="1">
        <v>3</v>
      </c>
      <c r="P591" s="3">
        <v>524.75</v>
      </c>
      <c r="Q591" s="4">
        <v>0</v>
      </c>
      <c r="R591" s="4">
        <v>0</v>
      </c>
      <c r="S591" s="3">
        <v>1574.25</v>
      </c>
      <c r="T591" s="3">
        <v>1326.12</v>
      </c>
      <c r="U591" s="3">
        <v>248.13</v>
      </c>
      <c r="V591" s="1" t="s">
        <v>43</v>
      </c>
      <c r="W591" s="1" t="s">
        <v>44</v>
      </c>
      <c r="X591" s="3">
        <f>IF(OR(O591="",P591="",R591=""),"",O591*P591*(1-R591))</f>
        <v>1574.25</v>
      </c>
      <c r="Y591" s="3">
        <f>IF(OR(X591="",T591=""),"",X591-T591)</f>
        <v>248.13</v>
      </c>
      <c r="Z591" s="4">
        <f>IFERROR(Y591/X591,"")</f>
        <v>0.1576</v>
      </c>
      <c r="AA591" s="1">
        <f>IF(OR(C591="",D591=""),"",D591-C591)</f>
        <v>6</v>
      </c>
      <c r="AB591" s="1">
        <f>IF(C591="","",MONTH(C591))</f>
        <v>12</v>
      </c>
      <c r="AC591" s="1">
        <f>IF(C591="","",YEAR(C591))</f>
        <v>2024</v>
      </c>
      <c r="AD591" s="1" t="s">
        <v>45</v>
      </c>
      <c r="AE591" s="1" t="s">
        <v>46</v>
      </c>
      <c r="AF591" s="1" t="s">
        <v>47</v>
      </c>
    </row>
    <row r="592" spans="1:32" s="15" customFormat="1" x14ac:dyDescent="0.25">
      <c r="A592" s="16">
        <v>592</v>
      </c>
      <c r="B592" s="16" t="s">
        <v>1928</v>
      </c>
      <c r="C592" s="17">
        <v>45440.77083333333</v>
      </c>
      <c r="D592" s="17">
        <v>45440.77083333333</v>
      </c>
      <c r="E592" s="16" t="s">
        <v>1929</v>
      </c>
      <c r="F592" s="16" t="s">
        <v>149</v>
      </c>
      <c r="G592" s="16" t="s">
        <v>114</v>
      </c>
      <c r="H592" s="16" t="s">
        <v>36</v>
      </c>
      <c r="I592" s="16" t="s">
        <v>384</v>
      </c>
      <c r="J592" s="16" t="s">
        <v>385</v>
      </c>
      <c r="K592" s="16" t="s">
        <v>55</v>
      </c>
      <c r="L592" s="16" t="s">
        <v>83</v>
      </c>
      <c r="M592" s="16" t="s">
        <v>1930</v>
      </c>
      <c r="N592" s="16" t="s">
        <v>58</v>
      </c>
      <c r="O592" s="16">
        <v>6</v>
      </c>
      <c r="P592" s="18">
        <v>3430.35</v>
      </c>
      <c r="Q592" s="19">
        <v>0</v>
      </c>
      <c r="R592" s="19">
        <v>0</v>
      </c>
      <c r="S592" s="18">
        <v>20582.1</v>
      </c>
      <c r="T592" s="18">
        <v>15897.65</v>
      </c>
      <c r="U592" s="18">
        <v>4684.45</v>
      </c>
      <c r="V592" s="16" t="s">
        <v>131</v>
      </c>
      <c r="W592" s="16" t="s">
        <v>85</v>
      </c>
      <c r="X592" s="18">
        <f>IF(OR(O592="",P592="",R592=""),"",O592*P592*(1-R592))</f>
        <v>20582.1</v>
      </c>
      <c r="Y592" s="18">
        <f>IF(OR(X592="",T592=""),"",X592-T592)</f>
        <v>4684.45</v>
      </c>
      <c r="Z592" s="19">
        <f>IFERROR(Y592/X592,"")</f>
        <v>0.2276</v>
      </c>
      <c r="AA592" s="16">
        <f>IF(OR(C592="",D592=""),"",D592-C592)</f>
        <v>0</v>
      </c>
      <c r="AB592" s="16">
        <f>IF(C592="","",MONTH(C592))</f>
        <v>5</v>
      </c>
      <c r="AC592" s="16">
        <f>IF(C592="","",YEAR(C592))</f>
        <v>2024</v>
      </c>
      <c r="AD592" s="16" t="s">
        <v>86</v>
      </c>
      <c r="AE592" s="16" t="s">
        <v>66</v>
      </c>
      <c r="AF592" s="16" t="s">
        <v>255</v>
      </c>
    </row>
    <row r="593" spans="1:32" s="15" customFormat="1" x14ac:dyDescent="0.25">
      <c r="A593" s="16">
        <v>593</v>
      </c>
      <c r="B593" s="16" t="s">
        <v>1931</v>
      </c>
      <c r="C593" s="17">
        <v>45343.77083333333</v>
      </c>
      <c r="D593" s="17">
        <v>45345.77083333333</v>
      </c>
      <c r="E593" s="16" t="s">
        <v>1932</v>
      </c>
      <c r="F593" s="16" t="s">
        <v>153</v>
      </c>
      <c r="G593" s="16" t="s">
        <v>35</v>
      </c>
      <c r="H593" s="16" t="s">
        <v>71</v>
      </c>
      <c r="I593" s="16" t="s">
        <v>201</v>
      </c>
      <c r="J593" s="16" t="s">
        <v>202</v>
      </c>
      <c r="K593" s="16" t="s">
        <v>93</v>
      </c>
      <c r="L593" s="16" t="s">
        <v>99</v>
      </c>
      <c r="M593" s="16" t="s">
        <v>1933</v>
      </c>
      <c r="N593" s="16" t="s">
        <v>64</v>
      </c>
      <c r="O593" s="16">
        <v>3</v>
      </c>
      <c r="P593" s="18">
        <v>3545.08</v>
      </c>
      <c r="Q593" s="19">
        <v>0</v>
      </c>
      <c r="R593" s="19">
        <v>0</v>
      </c>
      <c r="S593" s="18">
        <v>10635.24</v>
      </c>
      <c r="T593" s="18">
        <v>6031.88</v>
      </c>
      <c r="U593" s="18">
        <v>4603.36</v>
      </c>
      <c r="V593" s="16" t="s">
        <v>178</v>
      </c>
      <c r="W593" s="16" t="s">
        <v>122</v>
      </c>
      <c r="X593" s="18">
        <f>IF(OR(O593="",P593="",R593=""),"",O593*P593*(1-R593))</f>
        <v>10635.24</v>
      </c>
      <c r="Y593" s="18">
        <f>IF(OR(X593="",T593=""),"",X593-T593)</f>
        <v>4603.36</v>
      </c>
      <c r="Z593" s="19">
        <f>IFERROR(Y593/X593,"")</f>
        <v>0.4328</v>
      </c>
      <c r="AA593" s="16">
        <f>IF(OR(C593="",D593=""),"",D593-C593)</f>
        <v>2</v>
      </c>
      <c r="AB593" s="16">
        <f>IF(C593="","",MONTH(C593))</f>
        <v>2</v>
      </c>
      <c r="AC593" s="16">
        <f>IF(C593="","",YEAR(C593))</f>
        <v>2024</v>
      </c>
      <c r="AD593" s="16" t="s">
        <v>86</v>
      </c>
      <c r="AE593" s="16" t="s">
        <v>66</v>
      </c>
      <c r="AF593" s="16" t="s">
        <v>179</v>
      </c>
    </row>
    <row r="594" spans="1:32" x14ac:dyDescent="0.25">
      <c r="A594" s="1">
        <v>594</v>
      </c>
      <c r="B594" s="1" t="s">
        <v>1934</v>
      </c>
      <c r="C594" s="2">
        <v>45354.77083333333</v>
      </c>
      <c r="D594" s="2">
        <v>45359.77083333333</v>
      </c>
      <c r="E594" s="1" t="s">
        <v>1935</v>
      </c>
      <c r="F594" s="1" t="s">
        <v>50</v>
      </c>
      <c r="G594" s="1" t="s">
        <v>35</v>
      </c>
      <c r="H594" s="1" t="s">
        <v>52</v>
      </c>
      <c r="I594" s="1" t="s">
        <v>118</v>
      </c>
      <c r="J594" s="1" t="s">
        <v>119</v>
      </c>
      <c r="K594" s="1" t="s">
        <v>93</v>
      </c>
      <c r="L594" s="1" t="s">
        <v>94</v>
      </c>
      <c r="M594" s="1" t="s">
        <v>1936</v>
      </c>
      <c r="N594" s="1" t="s">
        <v>58</v>
      </c>
      <c r="O594" s="1">
        <v>8</v>
      </c>
      <c r="P594" s="3">
        <v>4401.41</v>
      </c>
      <c r="Q594" s="4">
        <v>0.15</v>
      </c>
      <c r="R594" s="4">
        <v>0.15</v>
      </c>
      <c r="S594" s="3">
        <v>29929.59</v>
      </c>
      <c r="T594" s="3">
        <v>22436.03</v>
      </c>
      <c r="U594" s="3">
        <v>7493.56</v>
      </c>
      <c r="V594" s="1" t="s">
        <v>43</v>
      </c>
      <c r="W594" s="1" t="s">
        <v>44</v>
      </c>
      <c r="X594" s="3">
        <f>IF(OR(O594="",P594="",R594=""),"",O594*P594*(1-R594))</f>
        <v>29929.59</v>
      </c>
      <c r="Y594" s="3">
        <f>IF(OR(X594="",T594=""),"",X594-T594)</f>
        <v>7493.56</v>
      </c>
      <c r="Z594" s="4">
        <f>IFERROR(Y594/X594,"")</f>
        <v>0.2504</v>
      </c>
      <c r="AA594" s="1">
        <f>IF(OR(C594="",D594=""),"",D594-C594)</f>
        <v>5</v>
      </c>
      <c r="AB594" s="1">
        <f>IF(C594="","",MONTH(C594))</f>
        <v>3</v>
      </c>
      <c r="AC594" s="1">
        <f>IF(C594="","",YEAR(C594))</f>
        <v>2024</v>
      </c>
      <c r="AD594" s="1" t="s">
        <v>45</v>
      </c>
      <c r="AE594" s="1" t="s">
        <v>46</v>
      </c>
      <c r="AF594" s="1" t="s">
        <v>47</v>
      </c>
    </row>
    <row r="595" spans="1:32" x14ac:dyDescent="0.25">
      <c r="A595" s="1">
        <v>595</v>
      </c>
      <c r="B595" s="1" t="s">
        <v>1937</v>
      </c>
      <c r="C595" s="2">
        <v>45926.77083333333</v>
      </c>
      <c r="D595" s="2">
        <v>45928.77083333333</v>
      </c>
      <c r="E595" s="1" t="s">
        <v>1727</v>
      </c>
      <c r="F595" s="1" t="s">
        <v>70</v>
      </c>
      <c r="G595" s="1" t="s">
        <v>114</v>
      </c>
      <c r="H595" s="1" t="s">
        <v>36</v>
      </c>
      <c r="I595" s="1" t="s">
        <v>157</v>
      </c>
      <c r="J595" s="1" t="s">
        <v>158</v>
      </c>
      <c r="K595" s="1" t="s">
        <v>55</v>
      </c>
      <c r="L595" s="1" t="s">
        <v>56</v>
      </c>
      <c r="M595" s="1" t="s">
        <v>1938</v>
      </c>
      <c r="N595" s="1" t="s">
        <v>42</v>
      </c>
      <c r="O595" s="1">
        <v>9</v>
      </c>
      <c r="P595" s="3">
        <v>4100.11</v>
      </c>
      <c r="Q595" s="4">
        <v>0.25</v>
      </c>
      <c r="R595" s="4">
        <v>0.25</v>
      </c>
      <c r="S595" s="3">
        <v>27675.74</v>
      </c>
      <c r="T595" s="3">
        <v>15571.08</v>
      </c>
      <c r="U595" s="3">
        <v>12104.66</v>
      </c>
      <c r="V595" s="1" t="s">
        <v>43</v>
      </c>
      <c r="W595" s="1" t="s">
        <v>44</v>
      </c>
      <c r="X595" s="3">
        <f>IF(OR(O595="",P595="",R595=""),"",O595*P595*(1-R595))</f>
        <v>27675.74</v>
      </c>
      <c r="Y595" s="3">
        <f>IF(OR(X595="",T595=""),"",X595-T595)</f>
        <v>12104.66</v>
      </c>
      <c r="Z595" s="4">
        <f>IFERROR(Y595/X595,"")</f>
        <v>0.4374</v>
      </c>
      <c r="AA595" s="1">
        <f>IF(OR(C595="",D595=""),"",D595-C595)</f>
        <v>2</v>
      </c>
      <c r="AB595" s="1">
        <f>IF(C595="","",MONTH(C595))</f>
        <v>9</v>
      </c>
      <c r="AC595" s="1">
        <f>IF(C595="","",YEAR(C595))</f>
        <v>2025</v>
      </c>
      <c r="AD595" s="1" t="s">
        <v>45</v>
      </c>
      <c r="AE595" s="1" t="s">
        <v>46</v>
      </c>
      <c r="AF595" s="1" t="s">
        <v>47</v>
      </c>
    </row>
    <row r="596" spans="1:32" x14ac:dyDescent="0.25">
      <c r="A596" s="1">
        <v>596</v>
      </c>
      <c r="B596" s="1" t="s">
        <v>1939</v>
      </c>
      <c r="C596" s="2">
        <v>45553.77083333333</v>
      </c>
      <c r="D596" s="2">
        <v>45555.77083333333</v>
      </c>
      <c r="E596" s="1" t="s">
        <v>1940</v>
      </c>
      <c r="F596" s="1" t="s">
        <v>34</v>
      </c>
      <c r="G596" s="1" t="s">
        <v>51</v>
      </c>
      <c r="H596" s="1" t="s">
        <v>52</v>
      </c>
      <c r="I596" s="1" t="s">
        <v>118</v>
      </c>
      <c r="J596" s="1" t="s">
        <v>119</v>
      </c>
      <c r="K596" s="1" t="s">
        <v>55</v>
      </c>
      <c r="L596" s="1" t="s">
        <v>83</v>
      </c>
      <c r="M596" s="1" t="s">
        <v>1941</v>
      </c>
      <c r="N596" s="1" t="s">
        <v>64</v>
      </c>
      <c r="O596" s="1">
        <v>3</v>
      </c>
      <c r="P596" s="3">
        <v>3981.76</v>
      </c>
      <c r="Q596" s="4">
        <v>0</v>
      </c>
      <c r="R596" s="4">
        <v>0</v>
      </c>
      <c r="S596" s="3">
        <v>11945.28</v>
      </c>
      <c r="T596" s="3">
        <v>9700.31</v>
      </c>
      <c r="U596" s="3">
        <v>2244.97</v>
      </c>
      <c r="V596" s="1" t="s">
        <v>43</v>
      </c>
      <c r="W596" s="1" t="s">
        <v>44</v>
      </c>
      <c r="X596" s="3">
        <f>IF(OR(O596="",P596="",R596=""),"",O596*P596*(1-R596))</f>
        <v>11945.28</v>
      </c>
      <c r="Y596" s="3">
        <f>IF(OR(X596="",T596=""),"",X596-T596)</f>
        <v>2244.97</v>
      </c>
      <c r="Z596" s="4">
        <f>IFERROR(Y596/X596,"")</f>
        <v>0.1879</v>
      </c>
      <c r="AA596" s="1">
        <f>IF(OR(C596="",D596=""),"",D596-C596)</f>
        <v>2</v>
      </c>
      <c r="AB596" s="1">
        <f>IF(C596="","",MONTH(C596))</f>
        <v>9</v>
      </c>
      <c r="AC596" s="1">
        <f>IF(C596="","",YEAR(C596))</f>
        <v>2024</v>
      </c>
      <c r="AD596" s="1" t="s">
        <v>45</v>
      </c>
      <c r="AE596" s="1" t="s">
        <v>46</v>
      </c>
      <c r="AF596" s="1" t="s">
        <v>47</v>
      </c>
    </row>
    <row r="597" spans="1:32" x14ac:dyDescent="0.25">
      <c r="A597" s="1">
        <v>597</v>
      </c>
      <c r="B597" s="1" t="s">
        <v>1942</v>
      </c>
      <c r="C597" s="2">
        <v>45698.77083333333</v>
      </c>
      <c r="D597" s="2">
        <v>45703.77083333333</v>
      </c>
      <c r="E597" s="1" t="s">
        <v>1943</v>
      </c>
      <c r="F597" s="1" t="s">
        <v>50</v>
      </c>
      <c r="G597" s="1" t="s">
        <v>109</v>
      </c>
      <c r="H597" s="1" t="s">
        <v>36</v>
      </c>
      <c r="I597" s="1" t="s">
        <v>157</v>
      </c>
      <c r="J597" s="1" t="s">
        <v>158</v>
      </c>
      <c r="K597" s="1" t="s">
        <v>93</v>
      </c>
      <c r="L597" s="1" t="s">
        <v>196</v>
      </c>
      <c r="M597" s="1" t="s">
        <v>1944</v>
      </c>
      <c r="N597" s="1" t="s">
        <v>64</v>
      </c>
      <c r="O597" s="1">
        <v>8</v>
      </c>
      <c r="P597" s="3">
        <v>1825.56</v>
      </c>
      <c r="Q597" s="4">
        <v>0.1</v>
      </c>
      <c r="R597" s="4">
        <v>0.1</v>
      </c>
      <c r="S597" s="3">
        <v>13144.03</v>
      </c>
      <c r="T597" s="3">
        <v>9764</v>
      </c>
      <c r="U597" s="3">
        <v>3380.03</v>
      </c>
      <c r="V597" s="1" t="s">
        <v>43</v>
      </c>
      <c r="W597" s="1" t="s">
        <v>44</v>
      </c>
      <c r="X597" s="3">
        <f>IF(OR(O597="",P597="",R597=""),"",O597*P597*(1-R597))</f>
        <v>13144.03</v>
      </c>
      <c r="Y597" s="3">
        <f>IF(OR(X597="",T597=""),"",X597-T597)</f>
        <v>3380.03</v>
      </c>
      <c r="Z597" s="4">
        <f>IFERROR(Y597/X597,"")</f>
        <v>0.2572</v>
      </c>
      <c r="AA597" s="1">
        <f>IF(OR(C597="",D597=""),"",D597-C597)</f>
        <v>5</v>
      </c>
      <c r="AB597" s="1">
        <f>IF(C597="","",MONTH(C597))</f>
        <v>2</v>
      </c>
      <c r="AC597" s="1">
        <f>IF(C597="","",YEAR(C597))</f>
        <v>2025</v>
      </c>
      <c r="AD597" s="1" t="s">
        <v>45</v>
      </c>
      <c r="AE597" s="1" t="s">
        <v>46</v>
      </c>
      <c r="AF597" s="1" t="s">
        <v>47</v>
      </c>
    </row>
    <row r="598" spans="1:32" x14ac:dyDescent="0.25">
      <c r="A598" s="1">
        <v>598</v>
      </c>
      <c r="B598" s="1" t="s">
        <v>1945</v>
      </c>
      <c r="C598" s="2">
        <v>45391.77083333333</v>
      </c>
      <c r="D598" s="2">
        <v>45397.77083333333</v>
      </c>
      <c r="E598" s="1" t="s">
        <v>1946</v>
      </c>
      <c r="F598" s="1" t="s">
        <v>108</v>
      </c>
      <c r="G598" s="1" t="s">
        <v>35</v>
      </c>
      <c r="H598" s="1" t="s">
        <v>71</v>
      </c>
      <c r="I598" s="1" t="s">
        <v>211</v>
      </c>
      <c r="J598" s="1" t="s">
        <v>212</v>
      </c>
      <c r="K598" s="1" t="s">
        <v>55</v>
      </c>
      <c r="L598" s="1" t="s">
        <v>83</v>
      </c>
      <c r="M598" s="1" t="s">
        <v>1947</v>
      </c>
      <c r="N598" s="1" t="s">
        <v>42</v>
      </c>
      <c r="O598" s="1">
        <v>9</v>
      </c>
      <c r="P598" s="3">
        <v>2723.26</v>
      </c>
      <c r="Q598" s="4">
        <v>0.25</v>
      </c>
      <c r="R598" s="4">
        <v>0.25</v>
      </c>
      <c r="S598" s="3">
        <v>18382.01</v>
      </c>
      <c r="T598" s="3">
        <v>13108.2</v>
      </c>
      <c r="U598" s="3">
        <v>5273.81</v>
      </c>
      <c r="V598" s="1" t="s">
        <v>43</v>
      </c>
      <c r="W598" s="1" t="s">
        <v>44</v>
      </c>
      <c r="X598" s="3">
        <f>IF(OR(O598="",P598="",R598=""),"",O598*P598*(1-R598))</f>
        <v>18382.01</v>
      </c>
      <c r="Y598" s="3">
        <f>IF(OR(X598="",T598=""),"",X598-T598)</f>
        <v>5273.81</v>
      </c>
      <c r="Z598" s="4">
        <f>IFERROR(Y598/X598,"")</f>
        <v>0.2869</v>
      </c>
      <c r="AA598" s="1">
        <f>IF(OR(C598="",D598=""),"",D598-C598)</f>
        <v>6</v>
      </c>
      <c r="AB598" s="1">
        <f>IF(C598="","",MONTH(C598))</f>
        <v>4</v>
      </c>
      <c r="AC598" s="1">
        <f>IF(C598="","",YEAR(C598))</f>
        <v>2024</v>
      </c>
      <c r="AD598" s="1" t="s">
        <v>45</v>
      </c>
      <c r="AE598" s="1" t="s">
        <v>46</v>
      </c>
      <c r="AF598" s="1" t="s">
        <v>47</v>
      </c>
    </row>
    <row r="599" spans="1:32" x14ac:dyDescent="0.25">
      <c r="A599" s="1">
        <v>599</v>
      </c>
      <c r="B599" s="1" t="s">
        <v>1948</v>
      </c>
      <c r="C599" s="2">
        <v>45845.77083333333</v>
      </c>
      <c r="D599" s="2">
        <v>45845.77083333333</v>
      </c>
      <c r="E599" s="1" t="s">
        <v>1949</v>
      </c>
      <c r="F599" s="1" t="s">
        <v>108</v>
      </c>
      <c r="G599" s="1" t="s">
        <v>35</v>
      </c>
      <c r="H599" s="1" t="s">
        <v>71</v>
      </c>
      <c r="I599" s="1" t="s">
        <v>72</v>
      </c>
      <c r="J599" s="1" t="s">
        <v>73</v>
      </c>
      <c r="K599" s="1" t="s">
        <v>93</v>
      </c>
      <c r="L599" s="1" t="s">
        <v>99</v>
      </c>
      <c r="M599" s="1" t="s">
        <v>1950</v>
      </c>
      <c r="N599" s="1" t="s">
        <v>58</v>
      </c>
      <c r="O599" s="1">
        <v>9</v>
      </c>
      <c r="P599" s="3">
        <v>274.88</v>
      </c>
      <c r="Q599" s="4">
        <v>0.25</v>
      </c>
      <c r="R599" s="4">
        <v>0.25</v>
      </c>
      <c r="S599" s="3">
        <v>1855.44</v>
      </c>
      <c r="T599" s="3">
        <v>1262.74</v>
      </c>
      <c r="U599" s="3">
        <v>592.7</v>
      </c>
      <c r="V599" s="1" t="s">
        <v>43</v>
      </c>
      <c r="W599" s="1" t="s">
        <v>44</v>
      </c>
      <c r="X599" s="3">
        <f>IF(OR(O599="",P599="",R599=""),"",O599*P599*(1-R599))</f>
        <v>1855.44</v>
      </c>
      <c r="Y599" s="3">
        <f>IF(OR(X599="",T599=""),"",X599-T599)</f>
        <v>592.7</v>
      </c>
      <c r="Z599" s="4">
        <f>IFERROR(Y599/X599,"")</f>
        <v>0.3194</v>
      </c>
      <c r="AA599" s="1">
        <f>IF(OR(C599="",D599=""),"",D599-C599)</f>
        <v>0</v>
      </c>
      <c r="AB599" s="1">
        <f>IF(C599="","",MONTH(C599))</f>
        <v>7</v>
      </c>
      <c r="AC599" s="1">
        <f>IF(C599="","",YEAR(C599))</f>
        <v>2025</v>
      </c>
      <c r="AD599" s="1" t="s">
        <v>45</v>
      </c>
      <c r="AE599" s="1" t="s">
        <v>46</v>
      </c>
      <c r="AF599" s="1" t="s">
        <v>47</v>
      </c>
    </row>
    <row r="600" spans="1:32" x14ac:dyDescent="0.25">
      <c r="A600" s="1">
        <v>600</v>
      </c>
      <c r="B600" s="1" t="s">
        <v>1951</v>
      </c>
      <c r="C600" s="2">
        <v>45520.77083333333</v>
      </c>
      <c r="D600" s="2">
        <v>45527.77083333333</v>
      </c>
      <c r="E600" s="1" t="s">
        <v>1952</v>
      </c>
      <c r="F600" s="1" t="s">
        <v>79</v>
      </c>
      <c r="G600" s="1" t="s">
        <v>109</v>
      </c>
      <c r="H600" s="1" t="s">
        <v>52</v>
      </c>
      <c r="I600" s="1" t="s">
        <v>118</v>
      </c>
      <c r="J600" s="1" t="s">
        <v>119</v>
      </c>
      <c r="K600" s="1" t="s">
        <v>93</v>
      </c>
      <c r="L600" s="1" t="s">
        <v>99</v>
      </c>
      <c r="M600" s="1" t="s">
        <v>1953</v>
      </c>
      <c r="N600" s="1" t="s">
        <v>58</v>
      </c>
      <c r="O600" s="1">
        <v>3</v>
      </c>
      <c r="P600" s="3">
        <v>1490.69</v>
      </c>
      <c r="Q600" s="4">
        <v>0.25</v>
      </c>
      <c r="R600" s="4">
        <v>0.25</v>
      </c>
      <c r="S600" s="3">
        <v>3354.05</v>
      </c>
      <c r="T600" s="3">
        <v>2672.67</v>
      </c>
      <c r="U600" s="3">
        <v>681.38</v>
      </c>
      <c r="V600" s="1" t="s">
        <v>43</v>
      </c>
      <c r="W600" s="1" t="s">
        <v>44</v>
      </c>
      <c r="X600" s="3">
        <f>IF(OR(O600="",P600="",R600=""),"",O600*P600*(1-R600))</f>
        <v>3354.05</v>
      </c>
      <c r="Y600" s="3">
        <f>IF(OR(X600="",T600=""),"",X600-T600)</f>
        <v>681.38</v>
      </c>
      <c r="Z600" s="4">
        <f>IFERROR(Y600/X600,"")</f>
        <v>0.2032</v>
      </c>
      <c r="AA600" s="1">
        <f>IF(OR(C600="",D600=""),"",D600-C600)</f>
        <v>7</v>
      </c>
      <c r="AB600" s="1">
        <f>IF(C600="","",MONTH(C600))</f>
        <v>8</v>
      </c>
      <c r="AC600" s="1">
        <f>IF(C600="","",YEAR(C600))</f>
        <v>2024</v>
      </c>
      <c r="AD600" s="1" t="s">
        <v>45</v>
      </c>
      <c r="AE600" s="1" t="s">
        <v>46</v>
      </c>
      <c r="AF600" s="1" t="s">
        <v>47</v>
      </c>
    </row>
    <row r="601" spans="1:32" x14ac:dyDescent="0.25">
      <c r="A601" s="1">
        <v>601</v>
      </c>
      <c r="B601" s="1" t="s">
        <v>1954</v>
      </c>
      <c r="C601" s="2">
        <v>45522.77083333333</v>
      </c>
      <c r="D601" s="2">
        <v>45524.77083333333</v>
      </c>
      <c r="E601" s="1" t="s">
        <v>1955</v>
      </c>
      <c r="F601" s="1" t="s">
        <v>70</v>
      </c>
      <c r="G601" s="1" t="s">
        <v>35</v>
      </c>
      <c r="H601" s="1" t="s">
        <v>36</v>
      </c>
      <c r="I601" s="1" t="s">
        <v>143</v>
      </c>
      <c r="J601" s="1" t="s">
        <v>144</v>
      </c>
      <c r="K601" s="1" t="s">
        <v>93</v>
      </c>
      <c r="L601" s="1" t="s">
        <v>196</v>
      </c>
      <c r="M601" s="1" t="s">
        <v>1956</v>
      </c>
      <c r="N601" s="1" t="s">
        <v>64</v>
      </c>
      <c r="O601" s="1">
        <v>3</v>
      </c>
      <c r="P601" s="3">
        <v>1103.54</v>
      </c>
      <c r="Q601" s="4">
        <v>0.25</v>
      </c>
      <c r="R601" s="4">
        <v>0.25</v>
      </c>
      <c r="S601" s="3">
        <v>2482.97</v>
      </c>
      <c r="T601" s="3">
        <v>1621.72</v>
      </c>
      <c r="U601" s="3">
        <v>861.25</v>
      </c>
      <c r="V601" s="1" t="s">
        <v>43</v>
      </c>
      <c r="W601" s="1" t="s">
        <v>44</v>
      </c>
      <c r="X601" s="3">
        <f>IF(OR(O601="",P601="",R601=""),"",O601*P601*(1-R601))</f>
        <v>2482.97</v>
      </c>
      <c r="Y601" s="3">
        <f>IF(OR(X601="",T601=""),"",X601-T601)</f>
        <v>861.25</v>
      </c>
      <c r="Z601" s="4">
        <f>IFERROR(Y601/X601,"")</f>
        <v>0.3469</v>
      </c>
      <c r="AA601" s="1">
        <f>IF(OR(C601="",D601=""),"",D601-C601)</f>
        <v>2</v>
      </c>
      <c r="AB601" s="1">
        <f>IF(C601="","",MONTH(C601))</f>
        <v>8</v>
      </c>
      <c r="AC601" s="1">
        <f>IF(C601="","",YEAR(C601))</f>
        <v>2024</v>
      </c>
      <c r="AD601" s="1" t="s">
        <v>45</v>
      </c>
      <c r="AE601" s="1" t="s">
        <v>46</v>
      </c>
      <c r="AF601" s="1" t="s">
        <v>47</v>
      </c>
    </row>
    <row r="602" spans="1:32" s="15" customFormat="1" x14ac:dyDescent="0.25">
      <c r="A602" s="16">
        <v>602</v>
      </c>
      <c r="B602" s="16" t="s">
        <v>1957</v>
      </c>
      <c r="C602" s="17">
        <v>45720.77083333333</v>
      </c>
      <c r="D602" s="17">
        <v>45727.77083333333</v>
      </c>
      <c r="E602" s="16" t="s">
        <v>1958</v>
      </c>
      <c r="F602" s="16" t="s">
        <v>79</v>
      </c>
      <c r="G602" s="16" t="s">
        <v>109</v>
      </c>
      <c r="H602" s="16" t="s">
        <v>80</v>
      </c>
      <c r="I602" s="16" t="s">
        <v>91</v>
      </c>
      <c r="J602" s="16" t="s">
        <v>92</v>
      </c>
      <c r="K602" s="16" t="s">
        <v>39</v>
      </c>
      <c r="L602" s="16" t="s">
        <v>145</v>
      </c>
      <c r="M602" s="16" t="s">
        <v>1959</v>
      </c>
      <c r="N602" s="16" t="s">
        <v>58</v>
      </c>
      <c r="O602" s="16">
        <v>3</v>
      </c>
      <c r="P602" s="18">
        <v>3682.75</v>
      </c>
      <c r="Q602" s="19"/>
      <c r="R602" s="19">
        <v>0</v>
      </c>
      <c r="S602" s="18">
        <v>11048.25</v>
      </c>
      <c r="T602" s="18">
        <v>9062.72</v>
      </c>
      <c r="U602" s="18">
        <v>1985.53</v>
      </c>
      <c r="V602" s="16" t="s">
        <v>43</v>
      </c>
      <c r="W602" s="16" t="s">
        <v>44</v>
      </c>
      <c r="X602" s="18">
        <f>IF(OR(O602="",P602="",R602=""),"",O602*P602*(1-R602))</f>
        <v>11048.25</v>
      </c>
      <c r="Y602" s="18">
        <f>IF(OR(X602="",T602=""),"",X602-T602)</f>
        <v>1985.53</v>
      </c>
      <c r="Z602" s="19">
        <f>IFERROR(Y602/X602,"")</f>
        <v>0.1797</v>
      </c>
      <c r="AA602" s="16">
        <f>IF(OR(C602="",D602=""),"",D602-C602)</f>
        <v>7</v>
      </c>
      <c r="AB602" s="16">
        <f>IF(C602="","",MONTH(C602))</f>
        <v>3</v>
      </c>
      <c r="AC602" s="16">
        <f>IF(C602="","",YEAR(C602))</f>
        <v>2025</v>
      </c>
      <c r="AD602" s="16" t="s">
        <v>86</v>
      </c>
      <c r="AE602" s="16" t="s">
        <v>46</v>
      </c>
      <c r="AF602" s="16" t="s">
        <v>813</v>
      </c>
    </row>
    <row r="603" spans="1:32" x14ac:dyDescent="0.25">
      <c r="A603" s="1">
        <v>603</v>
      </c>
      <c r="B603" s="1" t="s">
        <v>1960</v>
      </c>
      <c r="C603" s="2">
        <v>45316.77083333333</v>
      </c>
      <c r="D603" s="2">
        <v>45321.77083333333</v>
      </c>
      <c r="E603" s="1" t="s">
        <v>1961</v>
      </c>
      <c r="F603" s="1" t="s">
        <v>79</v>
      </c>
      <c r="G603" s="1" t="s">
        <v>114</v>
      </c>
      <c r="H603" s="1" t="s">
        <v>52</v>
      </c>
      <c r="I603" s="1" t="s">
        <v>118</v>
      </c>
      <c r="J603" s="1" t="s">
        <v>119</v>
      </c>
      <c r="K603" s="1" t="s">
        <v>39</v>
      </c>
      <c r="L603" s="1" t="s">
        <v>40</v>
      </c>
      <c r="M603" s="1" t="s">
        <v>1962</v>
      </c>
      <c r="N603" s="1" t="s">
        <v>42</v>
      </c>
      <c r="O603" s="1">
        <v>5</v>
      </c>
      <c r="P603" s="3">
        <v>1615.03</v>
      </c>
      <c r="Q603" s="4">
        <v>0.2</v>
      </c>
      <c r="R603" s="4">
        <v>0.2</v>
      </c>
      <c r="S603" s="3">
        <v>6460.12</v>
      </c>
      <c r="T603" s="3">
        <v>3604.03</v>
      </c>
      <c r="U603" s="3">
        <v>2856.09</v>
      </c>
      <c r="V603" s="1" t="s">
        <v>43</v>
      </c>
      <c r="W603" s="1" t="s">
        <v>44</v>
      </c>
      <c r="X603" s="3">
        <f>IF(OR(O603="",P603="",R603=""),"",O603*P603*(1-R603))</f>
        <v>6460.12</v>
      </c>
      <c r="Y603" s="3">
        <f>IF(OR(X603="",T603=""),"",X603-T603)</f>
        <v>2856.09</v>
      </c>
      <c r="Z603" s="4">
        <f>IFERROR(Y603/X603,"")</f>
        <v>0.4421</v>
      </c>
      <c r="AA603" s="1">
        <f>IF(OR(C603="",D603=""),"",D603-C603)</f>
        <v>5</v>
      </c>
      <c r="AB603" s="1">
        <f>IF(C603="","",MONTH(C603))</f>
        <v>1</v>
      </c>
      <c r="AC603" s="1">
        <f>IF(C603="","",YEAR(C603))</f>
        <v>2024</v>
      </c>
      <c r="AD603" s="1" t="s">
        <v>45</v>
      </c>
      <c r="AE603" s="1" t="s">
        <v>46</v>
      </c>
      <c r="AF603" s="1" t="s">
        <v>47</v>
      </c>
    </row>
    <row r="604" spans="1:32" x14ac:dyDescent="0.25">
      <c r="A604" s="1">
        <v>604</v>
      </c>
      <c r="B604" s="1" t="s">
        <v>1963</v>
      </c>
      <c r="C604" s="2">
        <v>45587.77083333333</v>
      </c>
      <c r="D604" s="2">
        <v>45594.77083333333</v>
      </c>
      <c r="E604" s="1" t="s">
        <v>1964</v>
      </c>
      <c r="F604" s="1" t="s">
        <v>149</v>
      </c>
      <c r="G604" s="1" t="s">
        <v>35</v>
      </c>
      <c r="H604" s="1" t="s">
        <v>52</v>
      </c>
      <c r="I604" s="1" t="s">
        <v>258</v>
      </c>
      <c r="J604" s="1" t="s">
        <v>259</v>
      </c>
      <c r="K604" s="1" t="s">
        <v>93</v>
      </c>
      <c r="L604" s="1" t="s">
        <v>99</v>
      </c>
      <c r="M604" s="1" t="s">
        <v>1965</v>
      </c>
      <c r="N604" s="1" t="s">
        <v>42</v>
      </c>
      <c r="O604" s="1">
        <v>9</v>
      </c>
      <c r="P604" s="3">
        <v>3423.82</v>
      </c>
      <c r="Q604" s="4">
        <v>0.15</v>
      </c>
      <c r="R604" s="4">
        <v>0.15</v>
      </c>
      <c r="S604" s="3">
        <v>26192.22</v>
      </c>
      <c r="T604" s="3">
        <v>20795.55</v>
      </c>
      <c r="U604" s="3">
        <v>5396.67</v>
      </c>
      <c r="V604" s="1" t="s">
        <v>43</v>
      </c>
      <c r="W604" s="1" t="s">
        <v>44</v>
      </c>
      <c r="X604" s="3">
        <f>IF(OR(O604="",P604="",R604=""),"",O604*P604*(1-R604))</f>
        <v>26192.22</v>
      </c>
      <c r="Y604" s="3">
        <f>IF(OR(X604="",T604=""),"",X604-T604)</f>
        <v>5396.67</v>
      </c>
      <c r="Z604" s="4">
        <f>IFERROR(Y604/X604,"")</f>
        <v>0.206</v>
      </c>
      <c r="AA604" s="1">
        <f>IF(OR(C604="",D604=""),"",D604-C604)</f>
        <v>7</v>
      </c>
      <c r="AB604" s="1">
        <f>IF(C604="","",MONTH(C604))</f>
        <v>10</v>
      </c>
      <c r="AC604" s="1">
        <f>IF(C604="","",YEAR(C604))</f>
        <v>2024</v>
      </c>
      <c r="AD604" s="1" t="s">
        <v>45</v>
      </c>
      <c r="AE604" s="1" t="s">
        <v>46</v>
      </c>
      <c r="AF604" s="1" t="s">
        <v>47</v>
      </c>
    </row>
    <row r="605" spans="1:32" s="15" customFormat="1" x14ac:dyDescent="0.25">
      <c r="A605" s="16">
        <v>605</v>
      </c>
      <c r="B605" s="16" t="s">
        <v>1966</v>
      </c>
      <c r="C605" s="17">
        <v>45659.77083333333</v>
      </c>
      <c r="D605" s="17">
        <v>45667.77083333333</v>
      </c>
      <c r="E605" s="16" t="s">
        <v>368</v>
      </c>
      <c r="F605" s="16" t="s">
        <v>90</v>
      </c>
      <c r="G605" s="16" t="s">
        <v>109</v>
      </c>
      <c r="H605" s="16" t="s">
        <v>52</v>
      </c>
      <c r="I605" s="16" t="s">
        <v>168</v>
      </c>
      <c r="J605" s="16" t="s">
        <v>169</v>
      </c>
      <c r="K605" s="16" t="s">
        <v>93</v>
      </c>
      <c r="L605" s="16" t="s">
        <v>94</v>
      </c>
      <c r="M605" s="16" t="s">
        <v>1967</v>
      </c>
      <c r="N605" s="16" t="s">
        <v>64</v>
      </c>
      <c r="O605" s="16">
        <v>8</v>
      </c>
      <c r="P605" s="18">
        <v>2574.29</v>
      </c>
      <c r="Q605" s="19">
        <v>0.05</v>
      </c>
      <c r="R605" s="19">
        <v>0.05</v>
      </c>
      <c r="S605" s="18">
        <v>19564.6</v>
      </c>
      <c r="T605" s="18">
        <v>11154.59</v>
      </c>
      <c r="U605" s="18">
        <v>8410.01</v>
      </c>
      <c r="V605" s="16" t="s">
        <v>131</v>
      </c>
      <c r="W605" s="16" t="s">
        <v>85</v>
      </c>
      <c r="X605" s="18">
        <f>IF(OR(O605="",P605="",R605=""),"",O605*P605*(1-R605))</f>
        <v>19564.6</v>
      </c>
      <c r="Y605" s="18">
        <f>IF(OR(X605="",T605=""),"",X605-T605)</f>
        <v>8410.01</v>
      </c>
      <c r="Z605" s="19">
        <f>IFERROR(Y605/X605,"")</f>
        <v>0.4299</v>
      </c>
      <c r="AA605" s="16">
        <f>IF(OR(C605="",D605=""),"",D605-C605)</f>
        <v>8</v>
      </c>
      <c r="AB605" s="16">
        <f>IF(C605="","",MONTH(C605))</f>
        <v>1</v>
      </c>
      <c r="AC605" s="16">
        <f>IF(C605="","",YEAR(C605))</f>
        <v>2025</v>
      </c>
      <c r="AD605" s="16" t="s">
        <v>86</v>
      </c>
      <c r="AE605" s="16" t="s">
        <v>66</v>
      </c>
      <c r="AF605" s="16" t="s">
        <v>255</v>
      </c>
    </row>
    <row r="606" spans="1:32" x14ac:dyDescent="0.25">
      <c r="A606" s="1">
        <v>606</v>
      </c>
      <c r="B606" s="1" t="s">
        <v>1968</v>
      </c>
      <c r="C606" s="2">
        <v>45692.77083333333</v>
      </c>
      <c r="D606" s="2">
        <v>45693.77083333333</v>
      </c>
      <c r="E606" s="1" t="s">
        <v>1969</v>
      </c>
      <c r="F606" s="1" t="s">
        <v>79</v>
      </c>
      <c r="G606" s="1" t="s">
        <v>35</v>
      </c>
      <c r="H606" s="1" t="s">
        <v>80</v>
      </c>
      <c r="I606" s="1" t="s">
        <v>91</v>
      </c>
      <c r="J606" s="1" t="s">
        <v>92</v>
      </c>
      <c r="K606" s="1" t="s">
        <v>39</v>
      </c>
      <c r="L606" s="1" t="s">
        <v>176</v>
      </c>
      <c r="M606" s="1" t="s">
        <v>1970</v>
      </c>
      <c r="N606" s="1" t="s">
        <v>58</v>
      </c>
      <c r="O606" s="1">
        <v>3</v>
      </c>
      <c r="P606" s="3">
        <v>1076.3</v>
      </c>
      <c r="Q606" s="4">
        <v>0</v>
      </c>
      <c r="R606" s="4">
        <v>0</v>
      </c>
      <c r="S606" s="3">
        <v>3228.9</v>
      </c>
      <c r="T606" s="3">
        <v>1853.23</v>
      </c>
      <c r="U606" s="3">
        <v>1375.67</v>
      </c>
      <c r="V606" s="1" t="s">
        <v>43</v>
      </c>
      <c r="W606" s="1" t="s">
        <v>44</v>
      </c>
      <c r="X606" s="3">
        <f>IF(OR(O606="",P606="",R606=""),"",O606*P606*(1-R606))</f>
        <v>3228.9</v>
      </c>
      <c r="Y606" s="3">
        <f>IF(OR(X606="",T606=""),"",X606-T606)</f>
        <v>1375.67</v>
      </c>
      <c r="Z606" s="4">
        <f>IFERROR(Y606/X606,"")</f>
        <v>0.426</v>
      </c>
      <c r="AA606" s="1">
        <f>IF(OR(C606="",D606=""),"",D606-C606)</f>
        <v>1</v>
      </c>
      <c r="AB606" s="1">
        <f>IF(C606="","",MONTH(C606))</f>
        <v>2</v>
      </c>
      <c r="AC606" s="1">
        <f>IF(C606="","",YEAR(C606))</f>
        <v>2025</v>
      </c>
      <c r="AD606" s="1" t="s">
        <v>45</v>
      </c>
      <c r="AE606" s="1" t="s">
        <v>46</v>
      </c>
      <c r="AF606" s="1" t="s">
        <v>47</v>
      </c>
    </row>
    <row r="607" spans="1:32" s="10" customFormat="1" x14ac:dyDescent="0.25">
      <c r="A607" s="11">
        <v>607</v>
      </c>
      <c r="B607" s="11" t="s">
        <v>1971</v>
      </c>
      <c r="C607" s="12">
        <v>45846.77083333333</v>
      </c>
      <c r="D607" s="12">
        <v>45850.77083333333</v>
      </c>
      <c r="E607" s="11" t="s">
        <v>1972</v>
      </c>
      <c r="F607" s="11" t="s">
        <v>294</v>
      </c>
      <c r="G607" s="11" t="s">
        <v>109</v>
      </c>
      <c r="H607" s="11" t="s">
        <v>80</v>
      </c>
      <c r="I607" s="11" t="s">
        <v>216</v>
      </c>
      <c r="J607" s="11" t="s">
        <v>217</v>
      </c>
      <c r="K607" s="11" t="s">
        <v>55</v>
      </c>
      <c r="L607" s="11" t="s">
        <v>74</v>
      </c>
      <c r="M607" s="11" t="s">
        <v>1973</v>
      </c>
      <c r="N607" s="11" t="s">
        <v>42</v>
      </c>
      <c r="O607" s="11">
        <v>5</v>
      </c>
      <c r="P607" s="13">
        <v>1680.01</v>
      </c>
      <c r="Q607" s="14"/>
      <c r="R607" s="14">
        <v>0</v>
      </c>
      <c r="S607" s="13">
        <v>7560.04</v>
      </c>
      <c r="T607" s="13">
        <v>6448.05</v>
      </c>
      <c r="U607" s="13">
        <v>1111.99</v>
      </c>
      <c r="V607" s="11" t="s">
        <v>43</v>
      </c>
      <c r="W607" s="11" t="s">
        <v>85</v>
      </c>
      <c r="X607" s="13">
        <f>IF(OR(O607="",P607="",R607=""),"",O607*P607*(1-R607))</f>
        <v>8400.05</v>
      </c>
      <c r="Y607" s="13">
        <f>IF(OR(X607="",T607=""),"",X607-T607)</f>
        <v>1952</v>
      </c>
      <c r="Z607" s="14">
        <f>IFERROR(Y607/X607,"")</f>
        <v>0.2324</v>
      </c>
      <c r="AA607" s="11">
        <f>IF(OR(C607="",D607=""),"",D607-C607)</f>
        <v>4</v>
      </c>
      <c r="AB607" s="11">
        <f>IF(C607="","",MONTH(C607))</f>
        <v>7</v>
      </c>
      <c r="AC607" s="11">
        <f>IF(C607="","",YEAR(C607))</f>
        <v>2025</v>
      </c>
      <c r="AD607" s="11" t="s">
        <v>65</v>
      </c>
      <c r="AE607" s="11" t="s">
        <v>66</v>
      </c>
      <c r="AF607" s="11" t="s">
        <v>468</v>
      </c>
    </row>
    <row r="608" spans="1:32" x14ac:dyDescent="0.25">
      <c r="A608" s="1">
        <v>608</v>
      </c>
      <c r="B608" s="1" t="s">
        <v>1974</v>
      </c>
      <c r="C608" s="2">
        <v>45709.77083333333</v>
      </c>
      <c r="D608" s="2">
        <v>45715.77083333333</v>
      </c>
      <c r="E608" s="1" t="s">
        <v>1975</v>
      </c>
      <c r="F608" s="1" t="s">
        <v>139</v>
      </c>
      <c r="G608" s="1" t="s">
        <v>114</v>
      </c>
      <c r="H608" s="1" t="s">
        <v>80</v>
      </c>
      <c r="I608" s="1" t="s">
        <v>91</v>
      </c>
      <c r="J608" s="1" t="s">
        <v>92</v>
      </c>
      <c r="K608" s="1" t="s">
        <v>93</v>
      </c>
      <c r="L608" s="1" t="s">
        <v>99</v>
      </c>
      <c r="M608" s="1" t="s">
        <v>1976</v>
      </c>
      <c r="N608" s="1" t="s">
        <v>58</v>
      </c>
      <c r="O608" s="1">
        <v>3</v>
      </c>
      <c r="P608" s="3">
        <v>3890.81</v>
      </c>
      <c r="Q608" s="4">
        <v>0.25</v>
      </c>
      <c r="R608" s="4">
        <v>0.25</v>
      </c>
      <c r="S608" s="3">
        <v>8754.32</v>
      </c>
      <c r="T608" s="3">
        <v>6238.9</v>
      </c>
      <c r="U608" s="3">
        <v>2515.42</v>
      </c>
      <c r="V608" s="1" t="s">
        <v>43</v>
      </c>
      <c r="W608" s="1" t="s">
        <v>44</v>
      </c>
      <c r="X608" s="3">
        <f>IF(OR(O608="",P608="",R608=""),"",O608*P608*(1-R608))</f>
        <v>8754.32</v>
      </c>
      <c r="Y608" s="3">
        <f>IF(OR(X608="",T608=""),"",X608-T608)</f>
        <v>2515.42</v>
      </c>
      <c r="Z608" s="4">
        <f>IFERROR(Y608/X608,"")</f>
        <v>0.2873</v>
      </c>
      <c r="AA608" s="1">
        <f>IF(OR(C608="",D608=""),"",D608-C608)</f>
        <v>6</v>
      </c>
      <c r="AB608" s="1">
        <f>IF(C608="","",MONTH(C608))</f>
        <v>2</v>
      </c>
      <c r="AC608" s="1">
        <f>IF(C608="","",YEAR(C608))</f>
        <v>2025</v>
      </c>
      <c r="AD608" s="1" t="s">
        <v>45</v>
      </c>
      <c r="AE608" s="1" t="s">
        <v>46</v>
      </c>
      <c r="AF608" s="1" t="s">
        <v>47</v>
      </c>
    </row>
    <row r="609" spans="1:32" x14ac:dyDescent="0.25">
      <c r="A609" s="1">
        <v>609</v>
      </c>
      <c r="B609" s="1" t="s">
        <v>1977</v>
      </c>
      <c r="C609" s="2">
        <v>45703.77083333333</v>
      </c>
      <c r="D609" s="2">
        <v>45709.77083333333</v>
      </c>
      <c r="E609" s="1" t="s">
        <v>1978</v>
      </c>
      <c r="F609" s="1" t="s">
        <v>153</v>
      </c>
      <c r="G609" s="1" t="s">
        <v>114</v>
      </c>
      <c r="H609" s="1" t="s">
        <v>52</v>
      </c>
      <c r="I609" s="1" t="s">
        <v>168</v>
      </c>
      <c r="J609" s="1" t="s">
        <v>169</v>
      </c>
      <c r="K609" s="1" t="s">
        <v>39</v>
      </c>
      <c r="L609" s="1" t="s">
        <v>145</v>
      </c>
      <c r="M609" s="1" t="s">
        <v>1979</v>
      </c>
      <c r="N609" s="1" t="s">
        <v>58</v>
      </c>
      <c r="O609" s="1">
        <v>5</v>
      </c>
      <c r="P609" s="3">
        <v>954.67</v>
      </c>
      <c r="Q609" s="4">
        <v>0.15</v>
      </c>
      <c r="R609" s="4">
        <v>0.15</v>
      </c>
      <c r="S609" s="3">
        <v>4057.35</v>
      </c>
      <c r="T609" s="3">
        <v>2862.03</v>
      </c>
      <c r="U609" s="3">
        <v>1195.32</v>
      </c>
      <c r="V609" s="1" t="s">
        <v>43</v>
      </c>
      <c r="W609" s="1" t="s">
        <v>44</v>
      </c>
      <c r="X609" s="3">
        <f>IF(OR(O609="",P609="",R609=""),"",O609*P609*(1-R609))</f>
        <v>4057.35</v>
      </c>
      <c r="Y609" s="3">
        <f>IF(OR(X609="",T609=""),"",X609-T609)</f>
        <v>1195.32</v>
      </c>
      <c r="Z609" s="4">
        <f>IFERROR(Y609/X609,"")</f>
        <v>0.2946</v>
      </c>
      <c r="AA609" s="1">
        <f>IF(OR(C609="",D609=""),"",D609-C609)</f>
        <v>6</v>
      </c>
      <c r="AB609" s="1">
        <f>IF(C609="","",MONTH(C609))</f>
        <v>2</v>
      </c>
      <c r="AC609" s="1">
        <f>IF(C609="","",YEAR(C609))</f>
        <v>2025</v>
      </c>
      <c r="AD609" s="1" t="s">
        <v>45</v>
      </c>
      <c r="AE609" s="1" t="s">
        <v>46</v>
      </c>
      <c r="AF609" s="1" t="s">
        <v>47</v>
      </c>
    </row>
    <row r="610" spans="1:32" x14ac:dyDescent="0.25">
      <c r="A610" s="1">
        <v>610</v>
      </c>
      <c r="B610" s="1" t="s">
        <v>1980</v>
      </c>
      <c r="C610" s="2">
        <v>45463.77083333333</v>
      </c>
      <c r="D610" s="2">
        <v>45465.77083333333</v>
      </c>
      <c r="E610" s="1" t="s">
        <v>1756</v>
      </c>
      <c r="F610" s="1" t="s">
        <v>34</v>
      </c>
      <c r="G610" s="1" t="s">
        <v>114</v>
      </c>
      <c r="H610" s="1" t="s">
        <v>80</v>
      </c>
      <c r="I610" s="1" t="s">
        <v>216</v>
      </c>
      <c r="J610" s="1" t="s">
        <v>217</v>
      </c>
      <c r="K610" s="1" t="s">
        <v>55</v>
      </c>
      <c r="L610" s="1" t="s">
        <v>74</v>
      </c>
      <c r="M610" s="1" t="s">
        <v>1981</v>
      </c>
      <c r="N610" s="1" t="s">
        <v>42</v>
      </c>
      <c r="O610" s="1">
        <v>9</v>
      </c>
      <c r="P610" s="3">
        <v>2153.75</v>
      </c>
      <c r="Q610" s="4">
        <v>0</v>
      </c>
      <c r="R610" s="4">
        <v>0</v>
      </c>
      <c r="S610" s="3">
        <v>19383.75</v>
      </c>
      <c r="T610" s="3">
        <v>11667.43</v>
      </c>
      <c r="U610" s="3">
        <v>7716.32</v>
      </c>
      <c r="V610" s="1" t="s">
        <v>43</v>
      </c>
      <c r="W610" s="1" t="s">
        <v>44</v>
      </c>
      <c r="X610" s="3">
        <f>IF(OR(O610="",P610="",R610=""),"",O610*P610*(1-R610))</f>
        <v>19383.75</v>
      </c>
      <c r="Y610" s="3">
        <f>IF(OR(X610="",T610=""),"",X610-T610)</f>
        <v>7716.32</v>
      </c>
      <c r="Z610" s="4">
        <f>IFERROR(Y610/X610,"")</f>
        <v>0.3981</v>
      </c>
      <c r="AA610" s="1">
        <f>IF(OR(C610="",D610=""),"",D610-C610)</f>
        <v>2</v>
      </c>
      <c r="AB610" s="1">
        <f>IF(C610="","",MONTH(C610))</f>
        <v>6</v>
      </c>
      <c r="AC610" s="1">
        <f>IF(C610="","",YEAR(C610))</f>
        <v>2024</v>
      </c>
      <c r="AD610" s="1" t="s">
        <v>45</v>
      </c>
      <c r="AE610" s="1" t="s">
        <v>46</v>
      </c>
      <c r="AF610" s="1" t="s">
        <v>47</v>
      </c>
    </row>
    <row r="611" spans="1:32" x14ac:dyDescent="0.25">
      <c r="A611" s="1">
        <v>611</v>
      </c>
      <c r="B611" s="1" t="s">
        <v>1982</v>
      </c>
      <c r="C611" s="2">
        <v>45664.77083333333</v>
      </c>
      <c r="D611" s="2">
        <v>45668.77083333333</v>
      </c>
      <c r="E611" s="1" t="s">
        <v>1983</v>
      </c>
      <c r="F611" s="1" t="s">
        <v>153</v>
      </c>
      <c r="G611" s="1" t="s">
        <v>114</v>
      </c>
      <c r="H611" s="1" t="s">
        <v>71</v>
      </c>
      <c r="I611" s="1" t="s">
        <v>201</v>
      </c>
      <c r="J611" s="1" t="s">
        <v>202</v>
      </c>
      <c r="K611" s="1" t="s">
        <v>55</v>
      </c>
      <c r="L611" s="1" t="s">
        <v>83</v>
      </c>
      <c r="M611" s="1" t="s">
        <v>1984</v>
      </c>
      <c r="N611" s="1" t="s">
        <v>76</v>
      </c>
      <c r="O611" s="1">
        <v>7</v>
      </c>
      <c r="P611" s="3">
        <v>4337.48</v>
      </c>
      <c r="Q611" s="4">
        <v>0</v>
      </c>
      <c r="R611" s="4">
        <v>0</v>
      </c>
      <c r="S611" s="3">
        <v>30362.36</v>
      </c>
      <c r="T611" s="3">
        <v>25065.4</v>
      </c>
      <c r="U611" s="3">
        <v>5296.96</v>
      </c>
      <c r="V611" s="1" t="s">
        <v>43</v>
      </c>
      <c r="W611" s="1" t="s">
        <v>44</v>
      </c>
      <c r="X611" s="3">
        <f>IF(OR(O611="",P611="",R611=""),"",O611*P611*(1-R611))</f>
        <v>30362.36</v>
      </c>
      <c r="Y611" s="3">
        <f>IF(OR(X611="",T611=""),"",X611-T611)</f>
        <v>5296.96</v>
      </c>
      <c r="Z611" s="4">
        <f>IFERROR(Y611/X611,"")</f>
        <v>0.1745</v>
      </c>
      <c r="AA611" s="1">
        <f>IF(OR(C611="",D611=""),"",D611-C611)</f>
        <v>4</v>
      </c>
      <c r="AB611" s="1">
        <f>IF(C611="","",MONTH(C611))</f>
        <v>1</v>
      </c>
      <c r="AC611" s="1">
        <f>IF(C611="","",YEAR(C611))</f>
        <v>2025</v>
      </c>
      <c r="AD611" s="1" t="s">
        <v>45</v>
      </c>
      <c r="AE611" s="1" t="s">
        <v>46</v>
      </c>
      <c r="AF611" s="1" t="s">
        <v>47</v>
      </c>
    </row>
    <row r="612" spans="1:32" x14ac:dyDescent="0.25">
      <c r="A612" s="1">
        <v>612</v>
      </c>
      <c r="B612" s="1" t="s">
        <v>1985</v>
      </c>
      <c r="C612" s="2">
        <v>45431.77083333333</v>
      </c>
      <c r="D612" s="2">
        <v>45431.77083333333</v>
      </c>
      <c r="E612" s="1" t="s">
        <v>1424</v>
      </c>
      <c r="F612" s="1" t="s">
        <v>34</v>
      </c>
      <c r="G612" s="1" t="s">
        <v>114</v>
      </c>
      <c r="H612" s="1" t="s">
        <v>80</v>
      </c>
      <c r="I612" s="1" t="s">
        <v>91</v>
      </c>
      <c r="J612" s="1" t="s">
        <v>92</v>
      </c>
      <c r="K612" s="1" t="s">
        <v>55</v>
      </c>
      <c r="L612" s="1" t="s">
        <v>83</v>
      </c>
      <c r="M612" s="1" t="s">
        <v>1986</v>
      </c>
      <c r="N612" s="1" t="s">
        <v>76</v>
      </c>
      <c r="O612" s="1">
        <v>1</v>
      </c>
      <c r="P612" s="3">
        <v>3032.95</v>
      </c>
      <c r="Q612" s="4">
        <v>0.1</v>
      </c>
      <c r="R612" s="4">
        <v>0.1</v>
      </c>
      <c r="S612" s="3">
        <v>2729.65</v>
      </c>
      <c r="T612" s="3">
        <v>1715.36</v>
      </c>
      <c r="U612" s="3">
        <v>1014.29</v>
      </c>
      <c r="V612" s="1" t="s">
        <v>43</v>
      </c>
      <c r="W612" s="1" t="s">
        <v>44</v>
      </c>
      <c r="X612" s="3">
        <f>IF(OR(O612="",P612="",R612=""),"",O612*P612*(1-R612))</f>
        <v>2729.66</v>
      </c>
      <c r="Y612" s="3">
        <f>IF(OR(X612="",T612=""),"",X612-T612)</f>
        <v>1014.3</v>
      </c>
      <c r="Z612" s="4">
        <f>IFERROR(Y612/X612,"")</f>
        <v>0.3716</v>
      </c>
      <c r="AA612" s="1">
        <f>IF(OR(C612="",D612=""),"",D612-C612)</f>
        <v>0</v>
      </c>
      <c r="AB612" s="1">
        <f>IF(C612="","",MONTH(C612))</f>
        <v>5</v>
      </c>
      <c r="AC612" s="1">
        <f>IF(C612="","",YEAR(C612))</f>
        <v>2024</v>
      </c>
      <c r="AD612" s="1" t="s">
        <v>45</v>
      </c>
      <c r="AE612" s="1" t="s">
        <v>46</v>
      </c>
      <c r="AF612" s="1" t="s">
        <v>47</v>
      </c>
    </row>
    <row r="613" spans="1:32" x14ac:dyDescent="0.25">
      <c r="A613" s="1">
        <v>613</v>
      </c>
      <c r="B613" s="1" t="s">
        <v>1987</v>
      </c>
      <c r="C613" s="2">
        <v>45845.77083333333</v>
      </c>
      <c r="D613" s="2">
        <v>45852.77083333333</v>
      </c>
      <c r="E613" s="1" t="s">
        <v>1988</v>
      </c>
      <c r="F613" s="1" t="s">
        <v>79</v>
      </c>
      <c r="G613" s="1" t="s">
        <v>51</v>
      </c>
      <c r="H613" s="1" t="s">
        <v>36</v>
      </c>
      <c r="I613" s="1" t="s">
        <v>37</v>
      </c>
      <c r="J613" s="1" t="s">
        <v>38</v>
      </c>
      <c r="K613" s="1" t="s">
        <v>39</v>
      </c>
      <c r="L613" s="1" t="s">
        <v>176</v>
      </c>
      <c r="M613" s="1" t="s">
        <v>1989</v>
      </c>
      <c r="N613" s="1" t="s">
        <v>58</v>
      </c>
      <c r="O613" s="1">
        <v>8</v>
      </c>
      <c r="P613" s="3">
        <v>655.28</v>
      </c>
      <c r="Q613" s="4">
        <v>0.1</v>
      </c>
      <c r="R613" s="4">
        <v>0.1</v>
      </c>
      <c r="S613" s="3">
        <v>4718.02</v>
      </c>
      <c r="T613" s="3">
        <v>3908.23</v>
      </c>
      <c r="U613" s="3">
        <v>809.79</v>
      </c>
      <c r="V613" s="1" t="s">
        <v>43</v>
      </c>
      <c r="W613" s="1" t="s">
        <v>44</v>
      </c>
      <c r="X613" s="3">
        <f>IF(OR(O613="",P613="",R613=""),"",O613*P613*(1-R613))</f>
        <v>4718.02</v>
      </c>
      <c r="Y613" s="3">
        <f>IF(OR(X613="",T613=""),"",X613-T613)</f>
        <v>809.79</v>
      </c>
      <c r="Z613" s="4">
        <f>IFERROR(Y613/X613,"")</f>
        <v>0.1716</v>
      </c>
      <c r="AA613" s="1">
        <f>IF(OR(C613="",D613=""),"",D613-C613)</f>
        <v>7</v>
      </c>
      <c r="AB613" s="1">
        <f>IF(C613="","",MONTH(C613))</f>
        <v>7</v>
      </c>
      <c r="AC613" s="1">
        <f>IF(C613="","",YEAR(C613))</f>
        <v>2025</v>
      </c>
      <c r="AD613" s="1" t="s">
        <v>45</v>
      </c>
      <c r="AE613" s="1" t="s">
        <v>46</v>
      </c>
      <c r="AF613" s="1" t="s">
        <v>47</v>
      </c>
    </row>
    <row r="614" spans="1:32" s="15" customFormat="1" x14ac:dyDescent="0.25">
      <c r="A614" s="16">
        <v>614</v>
      </c>
      <c r="B614" s="16" t="s">
        <v>1990</v>
      </c>
      <c r="C614" s="17">
        <v>45752.77083333333</v>
      </c>
      <c r="D614" s="17">
        <v>45759.77083333333</v>
      </c>
      <c r="E614" s="16" t="s">
        <v>1991</v>
      </c>
      <c r="F614" s="16" t="s">
        <v>108</v>
      </c>
      <c r="G614" s="16" t="s">
        <v>35</v>
      </c>
      <c r="H614" s="16" t="s">
        <v>232</v>
      </c>
      <c r="I614" s="16" t="s">
        <v>53</v>
      </c>
      <c r="J614" s="16" t="s">
        <v>54</v>
      </c>
      <c r="K614" s="16" t="s">
        <v>93</v>
      </c>
      <c r="L614" s="16" t="s">
        <v>196</v>
      </c>
      <c r="M614" s="16" t="s">
        <v>1992</v>
      </c>
      <c r="N614" s="16" t="s">
        <v>76</v>
      </c>
      <c r="O614" s="16">
        <v>1</v>
      </c>
      <c r="P614" s="18">
        <v>3844.01</v>
      </c>
      <c r="Q614" s="19">
        <v>0</v>
      </c>
      <c r="R614" s="19">
        <v>0</v>
      </c>
      <c r="S614" s="18">
        <v>3844.01</v>
      </c>
      <c r="T614" s="18">
        <v>2195.79</v>
      </c>
      <c r="U614" s="18">
        <v>1648.22</v>
      </c>
      <c r="V614" s="16" t="s">
        <v>43</v>
      </c>
      <c r="W614" s="16" t="s">
        <v>44</v>
      </c>
      <c r="X614" s="18">
        <f>IF(OR(O614="",P614="",R614=""),"",O614*P614*(1-R614))</f>
        <v>3844.01</v>
      </c>
      <c r="Y614" s="18">
        <f>IF(OR(X614="",T614=""),"",X614-T614)</f>
        <v>1648.22</v>
      </c>
      <c r="Z614" s="19">
        <f>IFERROR(Y614/X614,"")</f>
        <v>0.4288</v>
      </c>
      <c r="AA614" s="16">
        <f>IF(OR(C614="",D614=""),"",D614-C614)</f>
        <v>7</v>
      </c>
      <c r="AB614" s="16">
        <f>IF(C614="","",MONTH(C614))</f>
        <v>4</v>
      </c>
      <c r="AC614" s="16">
        <f>IF(C614="","",YEAR(C614))</f>
        <v>2025</v>
      </c>
      <c r="AD614" s="16" t="s">
        <v>86</v>
      </c>
      <c r="AE614" s="16" t="s">
        <v>46</v>
      </c>
      <c r="AF614" s="16" t="s">
        <v>487</v>
      </c>
    </row>
    <row r="615" spans="1:32" x14ac:dyDescent="0.25">
      <c r="A615" s="1">
        <v>615</v>
      </c>
      <c r="B615" s="1" t="s">
        <v>1993</v>
      </c>
      <c r="C615" s="2">
        <v>45569.77083333333</v>
      </c>
      <c r="D615" s="2">
        <v>45574.77083333333</v>
      </c>
      <c r="E615" s="1" t="s">
        <v>1994</v>
      </c>
      <c r="F615" s="1" t="s">
        <v>186</v>
      </c>
      <c r="G615" s="1" t="s">
        <v>114</v>
      </c>
      <c r="H615" s="1" t="s">
        <v>80</v>
      </c>
      <c r="I615" s="1" t="s">
        <v>206</v>
      </c>
      <c r="J615" s="1" t="s">
        <v>207</v>
      </c>
      <c r="K615" s="1" t="s">
        <v>93</v>
      </c>
      <c r="L615" s="1" t="s">
        <v>305</v>
      </c>
      <c r="M615" s="1" t="s">
        <v>1995</v>
      </c>
      <c r="N615" s="1" t="s">
        <v>58</v>
      </c>
      <c r="O615" s="1">
        <v>9</v>
      </c>
      <c r="P615" s="3">
        <v>3361.3</v>
      </c>
      <c r="Q615" s="4">
        <v>0.25</v>
      </c>
      <c r="R615" s="4">
        <v>0.25</v>
      </c>
      <c r="S615" s="3">
        <v>22688.78</v>
      </c>
      <c r="T615" s="3">
        <v>14672.41</v>
      </c>
      <c r="U615" s="3">
        <v>8016.37</v>
      </c>
      <c r="V615" s="1" t="s">
        <v>43</v>
      </c>
      <c r="W615" s="1" t="s">
        <v>44</v>
      </c>
      <c r="X615" s="3">
        <f>IF(OR(O615="",P615="",R615=""),"",O615*P615*(1-R615))</f>
        <v>22688.78</v>
      </c>
      <c r="Y615" s="3">
        <f>IF(OR(X615="",T615=""),"",X615-T615)</f>
        <v>8016.37</v>
      </c>
      <c r="Z615" s="4">
        <f>IFERROR(Y615/X615,"")</f>
        <v>0.3533</v>
      </c>
      <c r="AA615" s="1">
        <f>IF(OR(C615="",D615=""),"",D615-C615)</f>
        <v>5</v>
      </c>
      <c r="AB615" s="1">
        <f>IF(C615="","",MONTH(C615))</f>
        <v>10</v>
      </c>
      <c r="AC615" s="1">
        <f>IF(C615="","",YEAR(C615))</f>
        <v>2024</v>
      </c>
      <c r="AD615" s="1" t="s">
        <v>45</v>
      </c>
      <c r="AE615" s="1" t="s">
        <v>46</v>
      </c>
      <c r="AF615" s="1" t="s">
        <v>47</v>
      </c>
    </row>
    <row r="616" spans="1:32" s="15" customFormat="1" x14ac:dyDescent="0.25">
      <c r="A616" s="16">
        <v>616</v>
      </c>
      <c r="B616" s="16" t="s">
        <v>1996</v>
      </c>
      <c r="C616" s="17">
        <v>45332.77083333333</v>
      </c>
      <c r="D616" s="17">
        <v>45340.77083333333</v>
      </c>
      <c r="E616" s="16" t="s">
        <v>1997</v>
      </c>
      <c r="F616" s="16" t="s">
        <v>79</v>
      </c>
      <c r="G616" s="16" t="s">
        <v>114</v>
      </c>
      <c r="H616" s="16" t="s">
        <v>71</v>
      </c>
      <c r="I616" s="16" t="s">
        <v>72</v>
      </c>
      <c r="J616" s="16" t="s">
        <v>73</v>
      </c>
      <c r="K616" s="16" t="s">
        <v>55</v>
      </c>
      <c r="L616" s="16" t="s">
        <v>83</v>
      </c>
      <c r="M616" s="16" t="s">
        <v>1998</v>
      </c>
      <c r="N616" s="16" t="s">
        <v>76</v>
      </c>
      <c r="O616" s="16">
        <v>8</v>
      </c>
      <c r="P616" s="18">
        <v>3398.32</v>
      </c>
      <c r="Q616" s="19">
        <v>0.25</v>
      </c>
      <c r="R616" s="19">
        <v>0.25</v>
      </c>
      <c r="S616" s="18">
        <v>20389.92</v>
      </c>
      <c r="T616" s="18">
        <v>16661.08</v>
      </c>
      <c r="U616" s="18">
        <v>3728.84</v>
      </c>
      <c r="V616" s="16" t="s">
        <v>121</v>
      </c>
      <c r="W616" s="16" t="s">
        <v>85</v>
      </c>
      <c r="X616" s="18">
        <f>IF(OR(O616="",P616="",R616=""),"",O616*P616*(1-R616))</f>
        <v>20389.92</v>
      </c>
      <c r="Y616" s="18">
        <f>IF(OR(X616="",T616=""),"",X616-T616)</f>
        <v>3728.84</v>
      </c>
      <c r="Z616" s="19">
        <f>IFERROR(Y616/X616,"")</f>
        <v>0.1829</v>
      </c>
      <c r="AA616" s="16">
        <f>IF(OR(C616="",D616=""),"",D616-C616)</f>
        <v>8</v>
      </c>
      <c r="AB616" s="16">
        <f>IF(C616="","",MONTH(C616))</f>
        <v>2</v>
      </c>
      <c r="AC616" s="16">
        <f>IF(C616="","",YEAR(C616))</f>
        <v>2024</v>
      </c>
      <c r="AD616" s="16" t="s">
        <v>86</v>
      </c>
      <c r="AE616" s="16" t="s">
        <v>66</v>
      </c>
      <c r="AF616" s="16" t="s">
        <v>160</v>
      </c>
    </row>
    <row r="617" spans="1:32" s="10" customFormat="1" x14ac:dyDescent="0.25">
      <c r="A617" s="11">
        <v>617</v>
      </c>
      <c r="B617" s="11" t="s">
        <v>1999</v>
      </c>
      <c r="C617" s="12">
        <v>45568.77083333333</v>
      </c>
      <c r="D617" s="12">
        <v>45571.77083333333</v>
      </c>
      <c r="E617" s="11" t="s">
        <v>2000</v>
      </c>
      <c r="F617" s="11" t="s">
        <v>139</v>
      </c>
      <c r="G617" s="11" t="s">
        <v>109</v>
      </c>
      <c r="H617" s="11" t="s">
        <v>71</v>
      </c>
      <c r="I617" s="11" t="s">
        <v>211</v>
      </c>
      <c r="J617" s="11" t="s">
        <v>212</v>
      </c>
      <c r="K617" s="11" t="s">
        <v>39</v>
      </c>
      <c r="L617" s="11" t="s">
        <v>62</v>
      </c>
      <c r="M617" s="11" t="s">
        <v>2001</v>
      </c>
      <c r="N617" s="11" t="s">
        <v>42</v>
      </c>
      <c r="O617" s="11">
        <v>2</v>
      </c>
      <c r="P617" s="13">
        <v>3144.38</v>
      </c>
      <c r="Q617" s="14">
        <v>0.1</v>
      </c>
      <c r="R617" s="14">
        <v>0.1</v>
      </c>
      <c r="S617" s="13">
        <v>5904.57</v>
      </c>
      <c r="T617" s="13">
        <v>4337.79</v>
      </c>
      <c r="U617" s="13">
        <v>1322.09</v>
      </c>
      <c r="V617" s="11" t="s">
        <v>43</v>
      </c>
      <c r="W617" s="11" t="s">
        <v>44</v>
      </c>
      <c r="X617" s="13">
        <f>IF(OR(O617="",P617="",R617=""),"",O617*P617*(1-R617))</f>
        <v>5659.88</v>
      </c>
      <c r="Y617" s="13">
        <f>IF(OR(X617="",T617=""),"",X617-T617)</f>
        <v>1322.09</v>
      </c>
      <c r="Z617" s="14">
        <f>IFERROR(Y617/X617,"")</f>
        <v>0.2336</v>
      </c>
      <c r="AA617" s="11">
        <f>IF(OR(C617="",D617=""),"",D617-C617)</f>
        <v>3</v>
      </c>
      <c r="AB617" s="11">
        <f>IF(C617="","",MONTH(C617))</f>
        <v>10</v>
      </c>
      <c r="AC617" s="11">
        <f>IF(C617="","",YEAR(C617))</f>
        <v>2024</v>
      </c>
      <c r="AD617" s="11" t="s">
        <v>65</v>
      </c>
      <c r="AE617" s="11" t="s">
        <v>66</v>
      </c>
      <c r="AF617" s="11" t="s">
        <v>719</v>
      </c>
    </row>
    <row r="618" spans="1:32" x14ac:dyDescent="0.25">
      <c r="A618" s="1">
        <v>618</v>
      </c>
      <c r="B618" s="1" t="s">
        <v>2002</v>
      </c>
      <c r="C618" s="2">
        <v>45519.77083333333</v>
      </c>
      <c r="D618" s="2">
        <v>45522.77083333333</v>
      </c>
      <c r="E618" s="1" t="s">
        <v>2003</v>
      </c>
      <c r="F618" s="1" t="s">
        <v>294</v>
      </c>
      <c r="G618" s="1" t="s">
        <v>35</v>
      </c>
      <c r="H618" s="1" t="s">
        <v>71</v>
      </c>
      <c r="I618" s="1" t="s">
        <v>72</v>
      </c>
      <c r="J618" s="1" t="s">
        <v>73</v>
      </c>
      <c r="K618" s="1" t="s">
        <v>39</v>
      </c>
      <c r="L618" s="1" t="s">
        <v>40</v>
      </c>
      <c r="M618" s="1" t="s">
        <v>2004</v>
      </c>
      <c r="N618" s="1" t="s">
        <v>76</v>
      </c>
      <c r="O618" s="1">
        <v>6</v>
      </c>
      <c r="P618" s="3">
        <v>3925.55</v>
      </c>
      <c r="Q618" s="4">
        <v>0.2</v>
      </c>
      <c r="R618" s="4">
        <v>0.2</v>
      </c>
      <c r="S618" s="3">
        <v>18842.64</v>
      </c>
      <c r="T618" s="3">
        <v>11840.58</v>
      </c>
      <c r="U618" s="3">
        <v>7002.06</v>
      </c>
      <c r="V618" s="1" t="s">
        <v>43</v>
      </c>
      <c r="W618" s="1" t="s">
        <v>44</v>
      </c>
      <c r="X618" s="3">
        <f>IF(OR(O618="",P618="",R618=""),"",O618*P618*(1-R618))</f>
        <v>18842.64</v>
      </c>
      <c r="Y618" s="3">
        <f>IF(OR(X618="",T618=""),"",X618-T618)</f>
        <v>7002.06</v>
      </c>
      <c r="Z618" s="4">
        <f>IFERROR(Y618/X618,"")</f>
        <v>0.3716</v>
      </c>
      <c r="AA618" s="1">
        <f>IF(OR(C618="",D618=""),"",D618-C618)</f>
        <v>3</v>
      </c>
      <c r="AB618" s="1">
        <f>IF(C618="","",MONTH(C618))</f>
        <v>8</v>
      </c>
      <c r="AC618" s="1">
        <f>IF(C618="","",YEAR(C618))</f>
        <v>2024</v>
      </c>
      <c r="AD618" s="1" t="s">
        <v>45</v>
      </c>
      <c r="AE618" s="1" t="s">
        <v>46</v>
      </c>
      <c r="AF618" s="1" t="s">
        <v>47</v>
      </c>
    </row>
    <row r="619" spans="1:32" x14ac:dyDescent="0.25">
      <c r="A619" s="1">
        <v>619</v>
      </c>
      <c r="B619" s="1" t="s">
        <v>2005</v>
      </c>
      <c r="C619" s="2">
        <v>45563.77083333333</v>
      </c>
      <c r="D619" s="2">
        <v>45564.77083333333</v>
      </c>
      <c r="E619" s="1" t="s">
        <v>2006</v>
      </c>
      <c r="F619" s="1" t="s">
        <v>50</v>
      </c>
      <c r="G619" s="1" t="s">
        <v>114</v>
      </c>
      <c r="H619" s="1" t="s">
        <v>71</v>
      </c>
      <c r="I619" s="1" t="s">
        <v>72</v>
      </c>
      <c r="J619" s="1" t="s">
        <v>73</v>
      </c>
      <c r="K619" s="1" t="s">
        <v>93</v>
      </c>
      <c r="L619" s="1" t="s">
        <v>196</v>
      </c>
      <c r="M619" s="1" t="s">
        <v>2007</v>
      </c>
      <c r="N619" s="1" t="s">
        <v>76</v>
      </c>
      <c r="O619" s="1">
        <v>9</v>
      </c>
      <c r="P619" s="3">
        <v>2741.91</v>
      </c>
      <c r="Q619" s="4">
        <v>0</v>
      </c>
      <c r="R619" s="4">
        <v>0</v>
      </c>
      <c r="S619" s="3">
        <v>24677.19</v>
      </c>
      <c r="T619" s="3">
        <v>20350.85</v>
      </c>
      <c r="U619" s="3">
        <v>4326.34</v>
      </c>
      <c r="V619" s="1" t="s">
        <v>43</v>
      </c>
      <c r="W619" s="1" t="s">
        <v>44</v>
      </c>
      <c r="X619" s="3">
        <f>IF(OR(O619="",P619="",R619=""),"",O619*P619*(1-R619))</f>
        <v>24677.19</v>
      </c>
      <c r="Y619" s="3">
        <f>IF(OR(X619="",T619=""),"",X619-T619)</f>
        <v>4326.34</v>
      </c>
      <c r="Z619" s="4">
        <f>IFERROR(Y619/X619,"")</f>
        <v>0.1753</v>
      </c>
      <c r="AA619" s="1">
        <f>IF(OR(C619="",D619=""),"",D619-C619)</f>
        <v>1</v>
      </c>
      <c r="AB619" s="1">
        <f>IF(C619="","",MONTH(C619))</f>
        <v>9</v>
      </c>
      <c r="AC619" s="1">
        <f>IF(C619="","",YEAR(C619))</f>
        <v>2024</v>
      </c>
      <c r="AD619" s="1" t="s">
        <v>45</v>
      </c>
      <c r="AE619" s="1" t="s">
        <v>46</v>
      </c>
      <c r="AF619" s="1" t="s">
        <v>47</v>
      </c>
    </row>
    <row r="620" spans="1:32" s="15" customFormat="1" x14ac:dyDescent="0.25">
      <c r="A620" s="16">
        <v>620</v>
      </c>
      <c r="B620" s="16" t="s">
        <v>2008</v>
      </c>
      <c r="C620" s="17">
        <v>45495.77083333333</v>
      </c>
      <c r="D620" s="17">
        <v>45502.77083333333</v>
      </c>
      <c r="E620" s="16" t="s">
        <v>2009</v>
      </c>
      <c r="F620" s="16" t="s">
        <v>294</v>
      </c>
      <c r="G620" s="16" t="s">
        <v>109</v>
      </c>
      <c r="H620" s="16" t="s">
        <v>36</v>
      </c>
      <c r="I620" s="16" t="s">
        <v>37</v>
      </c>
      <c r="J620" s="16" t="s">
        <v>38</v>
      </c>
      <c r="K620" s="16" t="s">
        <v>55</v>
      </c>
      <c r="L620" s="16" t="s">
        <v>56</v>
      </c>
      <c r="M620" s="16" t="s">
        <v>2010</v>
      </c>
      <c r="N620" s="16" t="s">
        <v>58</v>
      </c>
      <c r="O620" s="16">
        <v>9</v>
      </c>
      <c r="P620" s="18">
        <v>1870.11</v>
      </c>
      <c r="Q620" s="19">
        <v>0.25</v>
      </c>
      <c r="R620" s="19">
        <v>0.25</v>
      </c>
      <c r="S620" s="18">
        <v>12623.24</v>
      </c>
      <c r="T620" s="18">
        <v>10540.8</v>
      </c>
      <c r="U620" s="18">
        <v>2082.44</v>
      </c>
      <c r="V620" s="16" t="s">
        <v>178</v>
      </c>
      <c r="W620" s="16" t="s">
        <v>85</v>
      </c>
      <c r="X620" s="18">
        <f>IF(OR(O620="",P620="",R620=""),"",O620*P620*(1-R620))</f>
        <v>12623.24</v>
      </c>
      <c r="Y620" s="18">
        <f>IF(OR(X620="",T620=""),"",X620-T620)</f>
        <v>2082.44</v>
      </c>
      <c r="Z620" s="19">
        <f>IFERROR(Y620/X620,"")</f>
        <v>0.165</v>
      </c>
      <c r="AA620" s="16">
        <f>IF(OR(C620="",D620=""),"",D620-C620)</f>
        <v>7</v>
      </c>
      <c r="AB620" s="16">
        <f>IF(C620="","",MONTH(C620))</f>
        <v>7</v>
      </c>
      <c r="AC620" s="16">
        <f>IF(C620="","",YEAR(C620))</f>
        <v>2024</v>
      </c>
      <c r="AD620" s="16" t="s">
        <v>86</v>
      </c>
      <c r="AE620" s="16" t="s">
        <v>66</v>
      </c>
      <c r="AF620" s="16" t="s">
        <v>296</v>
      </c>
    </row>
    <row r="621" spans="1:32" s="15" customFormat="1" x14ac:dyDescent="0.25">
      <c r="A621" s="16">
        <v>621</v>
      </c>
      <c r="B621" s="16" t="s">
        <v>2011</v>
      </c>
      <c r="C621" s="17">
        <v>45617.77083333333</v>
      </c>
      <c r="D621" s="17">
        <v>45622.77083333333</v>
      </c>
      <c r="E621" s="16" t="s">
        <v>2012</v>
      </c>
      <c r="F621" s="16" t="s">
        <v>135</v>
      </c>
      <c r="G621" s="16" t="s">
        <v>109</v>
      </c>
      <c r="H621" s="16" t="s">
        <v>71</v>
      </c>
      <c r="I621" s="16" t="s">
        <v>277</v>
      </c>
      <c r="J621" s="16" t="s">
        <v>278</v>
      </c>
      <c r="K621" s="16" t="s">
        <v>39</v>
      </c>
      <c r="L621" s="16" t="s">
        <v>176</v>
      </c>
      <c r="M621" s="16" t="s">
        <v>2013</v>
      </c>
      <c r="N621" s="16" t="s">
        <v>64</v>
      </c>
      <c r="O621" s="16">
        <v>1</v>
      </c>
      <c r="P621" s="18">
        <v>4251.26</v>
      </c>
      <c r="Q621" s="19">
        <v>0.2</v>
      </c>
      <c r="R621" s="19">
        <v>0.2</v>
      </c>
      <c r="S621" s="18">
        <v>3401.01</v>
      </c>
      <c r="T621" s="18">
        <v>2917.54</v>
      </c>
      <c r="U621" s="18">
        <v>483.47</v>
      </c>
      <c r="V621" s="16" t="s">
        <v>121</v>
      </c>
      <c r="W621" s="16" t="s">
        <v>122</v>
      </c>
      <c r="X621" s="18">
        <f>IF(OR(O621="",P621="",R621=""),"",O621*P621*(1-R621))</f>
        <v>3401.01</v>
      </c>
      <c r="Y621" s="18">
        <f>IF(OR(X621="",T621=""),"",X621-T621)</f>
        <v>483.47</v>
      </c>
      <c r="Z621" s="19">
        <f>IFERROR(Y621/X621,"")</f>
        <v>0.1422</v>
      </c>
      <c r="AA621" s="16">
        <f>IF(OR(C621="",D621=""),"",D621-C621)</f>
        <v>5</v>
      </c>
      <c r="AB621" s="16">
        <f>IF(C621="","",MONTH(C621))</f>
        <v>11</v>
      </c>
      <c r="AC621" s="16">
        <f>IF(C621="","",YEAR(C621))</f>
        <v>2024</v>
      </c>
      <c r="AD621" s="16" t="s">
        <v>86</v>
      </c>
      <c r="AE621" s="16" t="s">
        <v>66</v>
      </c>
      <c r="AF621" s="16" t="s">
        <v>123</v>
      </c>
    </row>
    <row r="622" spans="1:32" x14ac:dyDescent="0.25">
      <c r="A622" s="1">
        <v>622</v>
      </c>
      <c r="B622" s="1" t="s">
        <v>2014</v>
      </c>
      <c r="C622" s="2">
        <v>45521.77083333333</v>
      </c>
      <c r="D622" s="2">
        <v>45524.77083333333</v>
      </c>
      <c r="E622" s="1" t="s">
        <v>2015</v>
      </c>
      <c r="F622" s="1" t="s">
        <v>90</v>
      </c>
      <c r="G622" s="1" t="s">
        <v>35</v>
      </c>
      <c r="H622" s="1" t="s">
        <v>36</v>
      </c>
      <c r="I622" s="1" t="s">
        <v>157</v>
      </c>
      <c r="J622" s="1" t="s">
        <v>158</v>
      </c>
      <c r="K622" s="1" t="s">
        <v>93</v>
      </c>
      <c r="L622" s="1" t="s">
        <v>305</v>
      </c>
      <c r="M622" s="1" t="s">
        <v>2016</v>
      </c>
      <c r="N622" s="1" t="s">
        <v>76</v>
      </c>
      <c r="O622" s="1">
        <v>9</v>
      </c>
      <c r="P622" s="3">
        <v>734.34</v>
      </c>
      <c r="Q622" s="4">
        <v>0</v>
      </c>
      <c r="R622" s="4">
        <v>0</v>
      </c>
      <c r="S622" s="3">
        <v>6609.06</v>
      </c>
      <c r="T622" s="3">
        <v>4946.78</v>
      </c>
      <c r="U622" s="3">
        <v>1662.28</v>
      </c>
      <c r="V622" s="1" t="s">
        <v>43</v>
      </c>
      <c r="W622" s="1" t="s">
        <v>44</v>
      </c>
      <c r="X622" s="3">
        <f>IF(OR(O622="",P622="",R622=""),"",O622*P622*(1-R622))</f>
        <v>6609.06</v>
      </c>
      <c r="Y622" s="3">
        <f>IF(OR(X622="",T622=""),"",X622-T622)</f>
        <v>1662.28</v>
      </c>
      <c r="Z622" s="4">
        <f>IFERROR(Y622/X622,"")</f>
        <v>0.2515</v>
      </c>
      <c r="AA622" s="1">
        <f>IF(OR(C622="",D622=""),"",D622-C622)</f>
        <v>3</v>
      </c>
      <c r="AB622" s="1">
        <f>IF(C622="","",MONTH(C622))</f>
        <v>8</v>
      </c>
      <c r="AC622" s="1">
        <f>IF(C622="","",YEAR(C622))</f>
        <v>2024</v>
      </c>
      <c r="AD622" s="1" t="s">
        <v>45</v>
      </c>
      <c r="AE622" s="1" t="s">
        <v>46</v>
      </c>
      <c r="AF622" s="1" t="s">
        <v>47</v>
      </c>
    </row>
    <row r="623" spans="1:32" s="15" customFormat="1" x14ac:dyDescent="0.25">
      <c r="A623" s="16">
        <v>623</v>
      </c>
      <c r="B623" s="16" t="s">
        <v>2017</v>
      </c>
      <c r="C623" s="17">
        <v>45623.77083333333</v>
      </c>
      <c r="D623" s="17">
        <v>45631.77083333333</v>
      </c>
      <c r="E623" s="16" t="s">
        <v>2018</v>
      </c>
      <c r="F623" s="16" t="s">
        <v>108</v>
      </c>
      <c r="G623" s="16" t="s">
        <v>35</v>
      </c>
      <c r="H623" s="16" t="s">
        <v>80</v>
      </c>
      <c r="I623" s="16" t="s">
        <v>81</v>
      </c>
      <c r="J623" s="16" t="s">
        <v>82</v>
      </c>
      <c r="K623" s="16" t="s">
        <v>55</v>
      </c>
      <c r="L623" s="16" t="s">
        <v>83</v>
      </c>
      <c r="M623" s="16" t="s">
        <v>2019</v>
      </c>
      <c r="N623" s="16" t="s">
        <v>58</v>
      </c>
      <c r="O623" s="16">
        <v>5</v>
      </c>
      <c r="P623" s="18">
        <v>1092.84</v>
      </c>
      <c r="Q623" s="19"/>
      <c r="R623" s="19">
        <v>0</v>
      </c>
      <c r="S623" s="18">
        <v>5464.2</v>
      </c>
      <c r="T623" s="18">
        <v>3318.09</v>
      </c>
      <c r="U623" s="18">
        <v>2146.11</v>
      </c>
      <c r="V623" s="16" t="s">
        <v>43</v>
      </c>
      <c r="W623" s="16" t="s">
        <v>44</v>
      </c>
      <c r="X623" s="18">
        <f>IF(OR(O623="",P623="",R623=""),"",O623*P623*(1-R623))</f>
        <v>5464.2</v>
      </c>
      <c r="Y623" s="18">
        <f>IF(OR(X623="",T623=""),"",X623-T623)</f>
        <v>2146.11</v>
      </c>
      <c r="Z623" s="19">
        <f>IFERROR(Y623/X623,"")</f>
        <v>0.3928</v>
      </c>
      <c r="AA623" s="16">
        <f>IF(OR(C623="",D623=""),"",D623-C623)</f>
        <v>8</v>
      </c>
      <c r="AB623" s="16">
        <f>IF(C623="","",MONTH(C623))</f>
        <v>11</v>
      </c>
      <c r="AC623" s="16">
        <f>IF(C623="","",YEAR(C623))</f>
        <v>2024</v>
      </c>
      <c r="AD623" s="16" t="s">
        <v>86</v>
      </c>
      <c r="AE623" s="16" t="s">
        <v>46</v>
      </c>
      <c r="AF623" s="16" t="s">
        <v>813</v>
      </c>
    </row>
    <row r="624" spans="1:32" x14ac:dyDescent="0.25">
      <c r="A624" s="1">
        <v>624</v>
      </c>
      <c r="B624" s="1" t="s">
        <v>2020</v>
      </c>
      <c r="C624" s="2">
        <v>45685.77083333333</v>
      </c>
      <c r="D624" s="2">
        <v>45693.77083333333</v>
      </c>
      <c r="E624" s="1" t="s">
        <v>2021</v>
      </c>
      <c r="F624" s="1" t="s">
        <v>90</v>
      </c>
      <c r="G624" s="1" t="s">
        <v>35</v>
      </c>
      <c r="H624" s="1" t="s">
        <v>52</v>
      </c>
      <c r="I624" s="1" t="s">
        <v>168</v>
      </c>
      <c r="J624" s="1" t="s">
        <v>169</v>
      </c>
      <c r="K624" s="1" t="s">
        <v>39</v>
      </c>
      <c r="L624" s="1" t="s">
        <v>145</v>
      </c>
      <c r="M624" s="1" t="s">
        <v>2022</v>
      </c>
      <c r="N624" s="1" t="s">
        <v>76</v>
      </c>
      <c r="O624" s="1">
        <v>4</v>
      </c>
      <c r="P624" s="3">
        <v>2759.01</v>
      </c>
      <c r="Q624" s="4">
        <v>0.05</v>
      </c>
      <c r="R624" s="4">
        <v>0.05</v>
      </c>
      <c r="S624" s="3">
        <v>10484.24</v>
      </c>
      <c r="T624" s="3">
        <v>6680.15</v>
      </c>
      <c r="U624" s="3">
        <v>3804.09</v>
      </c>
      <c r="V624" s="1" t="s">
        <v>43</v>
      </c>
      <c r="W624" s="1" t="s">
        <v>44</v>
      </c>
      <c r="X624" s="3">
        <f>IF(OR(O624="",P624="",R624=""),"",O624*P624*(1-R624))</f>
        <v>10484.24</v>
      </c>
      <c r="Y624" s="3">
        <f>IF(OR(X624="",T624=""),"",X624-T624)</f>
        <v>3804.09</v>
      </c>
      <c r="Z624" s="4">
        <f>IFERROR(Y624/X624,"")</f>
        <v>0.3628</v>
      </c>
      <c r="AA624" s="1">
        <f>IF(OR(C624="",D624=""),"",D624-C624)</f>
        <v>8</v>
      </c>
      <c r="AB624" s="1">
        <f>IF(C624="","",MONTH(C624))</f>
        <v>1</v>
      </c>
      <c r="AC624" s="1">
        <f>IF(C624="","",YEAR(C624))</f>
        <v>2025</v>
      </c>
      <c r="AD624" s="1" t="s">
        <v>45</v>
      </c>
      <c r="AE624" s="1" t="s">
        <v>46</v>
      </c>
      <c r="AF624" s="1" t="s">
        <v>47</v>
      </c>
    </row>
    <row r="625" spans="1:32" x14ac:dyDescent="0.25">
      <c r="A625" s="1">
        <v>625</v>
      </c>
      <c r="B625" s="1" t="s">
        <v>2023</v>
      </c>
      <c r="C625" s="2">
        <v>45511.77083333333</v>
      </c>
      <c r="D625" s="2">
        <v>45517.77083333333</v>
      </c>
      <c r="E625" s="1" t="s">
        <v>2024</v>
      </c>
      <c r="F625" s="1" t="s">
        <v>90</v>
      </c>
      <c r="G625" s="1" t="s">
        <v>114</v>
      </c>
      <c r="H625" s="1" t="s">
        <v>36</v>
      </c>
      <c r="I625" s="1" t="s">
        <v>143</v>
      </c>
      <c r="J625" s="1" t="s">
        <v>144</v>
      </c>
      <c r="K625" s="1" t="s">
        <v>39</v>
      </c>
      <c r="L625" s="1" t="s">
        <v>145</v>
      </c>
      <c r="M625" s="1" t="s">
        <v>2025</v>
      </c>
      <c r="N625" s="1" t="s">
        <v>42</v>
      </c>
      <c r="O625" s="1">
        <v>8</v>
      </c>
      <c r="P625" s="3">
        <v>1359.19</v>
      </c>
      <c r="Q625" s="4">
        <v>0.05</v>
      </c>
      <c r="R625" s="4">
        <v>0.05</v>
      </c>
      <c r="S625" s="3">
        <v>10329.84</v>
      </c>
      <c r="T625" s="3">
        <v>7512.22</v>
      </c>
      <c r="U625" s="3">
        <v>2817.62</v>
      </c>
      <c r="V625" s="1" t="s">
        <v>43</v>
      </c>
      <c r="W625" s="1" t="s">
        <v>44</v>
      </c>
      <c r="X625" s="3">
        <f>IF(OR(O625="",P625="",R625=""),"",O625*P625*(1-R625))</f>
        <v>10329.84</v>
      </c>
      <c r="Y625" s="3">
        <f>IF(OR(X625="",T625=""),"",X625-T625)</f>
        <v>2817.62</v>
      </c>
      <c r="Z625" s="4">
        <f>IFERROR(Y625/X625,"")</f>
        <v>0.2728</v>
      </c>
      <c r="AA625" s="1">
        <f>IF(OR(C625="",D625=""),"",D625-C625)</f>
        <v>6</v>
      </c>
      <c r="AB625" s="1">
        <f>IF(C625="","",MONTH(C625))</f>
        <v>8</v>
      </c>
      <c r="AC625" s="1">
        <f>IF(C625="","",YEAR(C625))</f>
        <v>2024</v>
      </c>
      <c r="AD625" s="1" t="s">
        <v>45</v>
      </c>
      <c r="AE625" s="1" t="s">
        <v>46</v>
      </c>
      <c r="AF625" s="1" t="s">
        <v>47</v>
      </c>
    </row>
    <row r="626" spans="1:32" x14ac:dyDescent="0.25">
      <c r="A626" s="1">
        <v>626</v>
      </c>
      <c r="B626" s="1" t="s">
        <v>2026</v>
      </c>
      <c r="C626" s="2">
        <v>45320.77083333333</v>
      </c>
      <c r="D626" s="2">
        <v>45322.77083333333</v>
      </c>
      <c r="E626" s="1" t="s">
        <v>2027</v>
      </c>
      <c r="F626" s="1" t="s">
        <v>98</v>
      </c>
      <c r="G626" s="1" t="s">
        <v>114</v>
      </c>
      <c r="H626" s="1" t="s">
        <v>52</v>
      </c>
      <c r="I626" s="1" t="s">
        <v>191</v>
      </c>
      <c r="J626" s="1" t="s">
        <v>192</v>
      </c>
      <c r="K626" s="1" t="s">
        <v>55</v>
      </c>
      <c r="L626" s="1" t="s">
        <v>83</v>
      </c>
      <c r="M626" s="1" t="s">
        <v>2028</v>
      </c>
      <c r="N626" s="1" t="s">
        <v>64</v>
      </c>
      <c r="O626" s="1">
        <v>2</v>
      </c>
      <c r="P626" s="3">
        <v>4451.03</v>
      </c>
      <c r="Q626" s="4">
        <v>0.05</v>
      </c>
      <c r="R626" s="4">
        <v>0.05</v>
      </c>
      <c r="S626" s="3">
        <v>8456.96</v>
      </c>
      <c r="T626" s="3">
        <v>5462.85</v>
      </c>
      <c r="U626" s="3">
        <v>2994.11</v>
      </c>
      <c r="V626" s="1" t="s">
        <v>43</v>
      </c>
      <c r="W626" s="1" t="s">
        <v>44</v>
      </c>
      <c r="X626" s="3">
        <f>IF(OR(O626="",P626="",R626=""),"",O626*P626*(1-R626))</f>
        <v>8456.96</v>
      </c>
      <c r="Y626" s="3">
        <f>IF(OR(X626="",T626=""),"",X626-T626)</f>
        <v>2994.11</v>
      </c>
      <c r="Z626" s="4">
        <f>IFERROR(Y626/X626,"")</f>
        <v>0.354</v>
      </c>
      <c r="AA626" s="1">
        <f>IF(OR(C626="",D626=""),"",D626-C626)</f>
        <v>2</v>
      </c>
      <c r="AB626" s="1">
        <f>IF(C626="","",MONTH(C626))</f>
        <v>1</v>
      </c>
      <c r="AC626" s="1">
        <f>IF(C626="","",YEAR(C626))</f>
        <v>2024</v>
      </c>
      <c r="AD626" s="1" t="s">
        <v>45</v>
      </c>
      <c r="AE626" s="1" t="s">
        <v>46</v>
      </c>
      <c r="AF626" s="1" t="s">
        <v>47</v>
      </c>
    </row>
    <row r="627" spans="1:32" x14ac:dyDescent="0.25">
      <c r="A627" s="1">
        <v>627</v>
      </c>
      <c r="B627" s="1" t="s">
        <v>2029</v>
      </c>
      <c r="C627" s="2">
        <v>45640.77083333333</v>
      </c>
      <c r="D627" s="2">
        <v>45646.77083333333</v>
      </c>
      <c r="E627" s="1" t="s">
        <v>2030</v>
      </c>
      <c r="F627" s="1" t="s">
        <v>186</v>
      </c>
      <c r="G627" s="1" t="s">
        <v>109</v>
      </c>
      <c r="H627" s="1" t="s">
        <v>80</v>
      </c>
      <c r="I627" s="1" t="s">
        <v>37</v>
      </c>
      <c r="J627" s="1" t="s">
        <v>129</v>
      </c>
      <c r="K627" s="1" t="s">
        <v>55</v>
      </c>
      <c r="L627" s="1" t="s">
        <v>83</v>
      </c>
      <c r="M627" s="1" t="s">
        <v>2031</v>
      </c>
      <c r="N627" s="1" t="s">
        <v>58</v>
      </c>
      <c r="O627" s="1">
        <v>3</v>
      </c>
      <c r="P627" s="3">
        <v>527.67</v>
      </c>
      <c r="Q627" s="4">
        <v>0.2</v>
      </c>
      <c r="R627" s="4">
        <v>0.2</v>
      </c>
      <c r="S627" s="3">
        <v>1266.41</v>
      </c>
      <c r="T627" s="3">
        <v>983.92</v>
      </c>
      <c r="U627" s="3">
        <v>282.49</v>
      </c>
      <c r="V627" s="1" t="s">
        <v>43</v>
      </c>
      <c r="W627" s="1" t="s">
        <v>44</v>
      </c>
      <c r="X627" s="3">
        <f>IF(OR(O627="",P627="",R627=""),"",O627*P627*(1-R627))</f>
        <v>1266.41</v>
      </c>
      <c r="Y627" s="3">
        <f>IF(OR(X627="",T627=""),"",X627-T627)</f>
        <v>282.49</v>
      </c>
      <c r="Z627" s="4">
        <f>IFERROR(Y627/X627,"")</f>
        <v>0.2231</v>
      </c>
      <c r="AA627" s="1">
        <f>IF(OR(C627="",D627=""),"",D627-C627)</f>
        <v>6</v>
      </c>
      <c r="AB627" s="1">
        <f>IF(C627="","",MONTH(C627))</f>
        <v>12</v>
      </c>
      <c r="AC627" s="1">
        <f>IF(C627="","",YEAR(C627))</f>
        <v>2024</v>
      </c>
      <c r="AD627" s="1" t="s">
        <v>45</v>
      </c>
      <c r="AE627" s="1" t="s">
        <v>46</v>
      </c>
      <c r="AF627" s="1" t="s">
        <v>47</v>
      </c>
    </row>
    <row r="628" spans="1:32" s="15" customFormat="1" x14ac:dyDescent="0.25">
      <c r="A628" s="16">
        <v>628</v>
      </c>
      <c r="B628" s="16" t="s">
        <v>2032</v>
      </c>
      <c r="C628" s="17">
        <v>45811.77083333333</v>
      </c>
      <c r="D628" s="17">
        <v>45814.77083333333</v>
      </c>
      <c r="E628" s="16" t="s">
        <v>2033</v>
      </c>
      <c r="F628" s="16" t="s">
        <v>153</v>
      </c>
      <c r="G628" s="16" t="s">
        <v>114</v>
      </c>
      <c r="H628" s="16" t="s">
        <v>52</v>
      </c>
      <c r="I628" s="16" t="s">
        <v>191</v>
      </c>
      <c r="J628" s="16" t="s">
        <v>192</v>
      </c>
      <c r="K628" s="16" t="s">
        <v>93</v>
      </c>
      <c r="L628" s="16" t="s">
        <v>305</v>
      </c>
      <c r="M628" s="16" t="s">
        <v>2034</v>
      </c>
      <c r="N628" s="16" t="s">
        <v>76</v>
      </c>
      <c r="O628" s="16">
        <v>8</v>
      </c>
      <c r="P628" s="18">
        <v>1434.13</v>
      </c>
      <c r="Q628" s="19">
        <v>0</v>
      </c>
      <c r="R628" s="19">
        <v>0</v>
      </c>
      <c r="S628" s="18">
        <v>11473.04</v>
      </c>
      <c r="T628" s="18">
        <v>8931.33</v>
      </c>
      <c r="U628" s="18">
        <v>2541.71</v>
      </c>
      <c r="V628" s="16" t="s">
        <v>131</v>
      </c>
      <c r="W628" s="16" t="s">
        <v>122</v>
      </c>
      <c r="X628" s="18">
        <f>IF(OR(O628="",P628="",R628=""),"",O628*P628*(1-R628))</f>
        <v>11473.04</v>
      </c>
      <c r="Y628" s="18">
        <f>IF(OR(X628="",T628=""),"",X628-T628)</f>
        <v>2541.71</v>
      </c>
      <c r="Z628" s="19">
        <f>IFERROR(Y628/X628,"")</f>
        <v>0.2215</v>
      </c>
      <c r="AA628" s="16">
        <f>IF(OR(C628="",D628=""),"",D628-C628)</f>
        <v>3</v>
      </c>
      <c r="AB628" s="16">
        <f>IF(C628="","",MONTH(C628))</f>
        <v>6</v>
      </c>
      <c r="AC628" s="16">
        <f>IF(C628="","",YEAR(C628))</f>
        <v>2025</v>
      </c>
      <c r="AD628" s="16" t="s">
        <v>86</v>
      </c>
      <c r="AE628" s="16" t="s">
        <v>66</v>
      </c>
      <c r="AF628" s="16" t="s">
        <v>132</v>
      </c>
    </row>
    <row r="629" spans="1:32" s="15" customFormat="1" x14ac:dyDescent="0.25">
      <c r="A629" s="16">
        <v>629</v>
      </c>
      <c r="B629" s="16" t="s">
        <v>2035</v>
      </c>
      <c r="C629" s="17">
        <v>45700.77083333333</v>
      </c>
      <c r="D629" s="17">
        <v>45708.77083333333</v>
      </c>
      <c r="E629" s="16" t="s">
        <v>2036</v>
      </c>
      <c r="F629" s="16" t="s">
        <v>34</v>
      </c>
      <c r="G629" s="16" t="s">
        <v>51</v>
      </c>
      <c r="H629" s="16" t="s">
        <v>71</v>
      </c>
      <c r="I629" s="16" t="s">
        <v>211</v>
      </c>
      <c r="J629" s="16" t="s">
        <v>212</v>
      </c>
      <c r="K629" s="16" t="s">
        <v>93</v>
      </c>
      <c r="L629" s="16" t="s">
        <v>196</v>
      </c>
      <c r="M629" s="16" t="s">
        <v>2037</v>
      </c>
      <c r="N629" s="16" t="s">
        <v>42</v>
      </c>
      <c r="O629" s="16">
        <v>2</v>
      </c>
      <c r="P629" s="18">
        <v>2360.02</v>
      </c>
      <c r="Q629" s="19">
        <v>0.15</v>
      </c>
      <c r="R629" s="19">
        <v>0.15</v>
      </c>
      <c r="S629" s="18">
        <v>4012.03</v>
      </c>
      <c r="T629" s="18">
        <v>3142.92</v>
      </c>
      <c r="U629" s="18">
        <v>869.11</v>
      </c>
      <c r="V629" s="16" t="s">
        <v>131</v>
      </c>
      <c r="W629" s="16" t="s">
        <v>85</v>
      </c>
      <c r="X629" s="18">
        <f>IF(OR(O629="",P629="",R629=""),"",O629*P629*(1-R629))</f>
        <v>4012.03</v>
      </c>
      <c r="Y629" s="18">
        <f>IF(OR(X629="",T629=""),"",X629-T629)</f>
        <v>869.11</v>
      </c>
      <c r="Z629" s="19">
        <f>IFERROR(Y629/X629,"")</f>
        <v>0.2166</v>
      </c>
      <c r="AA629" s="16">
        <f>IF(OR(C629="",D629=""),"",D629-C629)</f>
        <v>8</v>
      </c>
      <c r="AB629" s="16">
        <f>IF(C629="","",MONTH(C629))</f>
        <v>2</v>
      </c>
      <c r="AC629" s="16">
        <f>IF(C629="","",YEAR(C629))</f>
        <v>2025</v>
      </c>
      <c r="AD629" s="16" t="s">
        <v>86</v>
      </c>
      <c r="AE629" s="16" t="s">
        <v>66</v>
      </c>
      <c r="AF629" s="16" t="s">
        <v>255</v>
      </c>
    </row>
    <row r="630" spans="1:32" x14ac:dyDescent="0.25">
      <c r="A630" s="1">
        <v>630</v>
      </c>
      <c r="B630" s="1" t="s">
        <v>2038</v>
      </c>
      <c r="C630" s="2">
        <v>45934.77083333333</v>
      </c>
      <c r="D630" s="2">
        <v>45941.77083333333</v>
      </c>
      <c r="E630" s="1" t="s">
        <v>2039</v>
      </c>
      <c r="F630" s="1" t="s">
        <v>79</v>
      </c>
      <c r="G630" s="1" t="s">
        <v>114</v>
      </c>
      <c r="H630" s="1" t="s">
        <v>52</v>
      </c>
      <c r="I630" s="1" t="s">
        <v>258</v>
      </c>
      <c r="J630" s="1" t="s">
        <v>259</v>
      </c>
      <c r="K630" s="1" t="s">
        <v>93</v>
      </c>
      <c r="L630" s="1" t="s">
        <v>94</v>
      </c>
      <c r="M630" s="1" t="s">
        <v>2040</v>
      </c>
      <c r="N630" s="1" t="s">
        <v>58</v>
      </c>
      <c r="O630" s="1">
        <v>7</v>
      </c>
      <c r="P630" s="3">
        <v>806.67</v>
      </c>
      <c r="Q630" s="4">
        <v>0.05</v>
      </c>
      <c r="R630" s="4">
        <v>0.05</v>
      </c>
      <c r="S630" s="3">
        <v>5364.36</v>
      </c>
      <c r="T630" s="3">
        <v>4391.29</v>
      </c>
      <c r="U630" s="3">
        <v>973.07</v>
      </c>
      <c r="V630" s="1" t="s">
        <v>43</v>
      </c>
      <c r="W630" s="1" t="s">
        <v>44</v>
      </c>
      <c r="X630" s="3">
        <f>IF(OR(O630="",P630="",R630=""),"",O630*P630*(1-R630))</f>
        <v>5364.36</v>
      </c>
      <c r="Y630" s="3">
        <f>IF(OR(X630="",T630=""),"",X630-T630)</f>
        <v>973.07</v>
      </c>
      <c r="Z630" s="4">
        <f>IFERROR(Y630/X630,"")</f>
        <v>0.1814</v>
      </c>
      <c r="AA630" s="1">
        <f>IF(OR(C630="",D630=""),"",D630-C630)</f>
        <v>7</v>
      </c>
      <c r="AB630" s="1">
        <f>IF(C630="","",MONTH(C630))</f>
        <v>10</v>
      </c>
      <c r="AC630" s="1">
        <f>IF(C630="","",YEAR(C630))</f>
        <v>2025</v>
      </c>
      <c r="AD630" s="1" t="s">
        <v>45</v>
      </c>
      <c r="AE630" s="1" t="s">
        <v>46</v>
      </c>
      <c r="AF630" s="1" t="s">
        <v>47</v>
      </c>
    </row>
    <row r="631" spans="1:32" x14ac:dyDescent="0.25">
      <c r="A631" s="1">
        <v>631</v>
      </c>
      <c r="B631" s="1" t="s">
        <v>2041</v>
      </c>
      <c r="C631" s="2">
        <v>45909.77083333333</v>
      </c>
      <c r="D631" s="2">
        <v>45913.77083333333</v>
      </c>
      <c r="E631" s="1" t="s">
        <v>2042</v>
      </c>
      <c r="F631" s="1" t="s">
        <v>70</v>
      </c>
      <c r="G631" s="1" t="s">
        <v>114</v>
      </c>
      <c r="H631" s="1" t="s">
        <v>80</v>
      </c>
      <c r="I631" s="1" t="s">
        <v>206</v>
      </c>
      <c r="J631" s="1" t="s">
        <v>207</v>
      </c>
      <c r="K631" s="1" t="s">
        <v>55</v>
      </c>
      <c r="L631" s="1" t="s">
        <v>56</v>
      </c>
      <c r="M631" s="1" t="s">
        <v>2043</v>
      </c>
      <c r="N631" s="1" t="s">
        <v>58</v>
      </c>
      <c r="O631" s="1">
        <v>3</v>
      </c>
      <c r="P631" s="3">
        <v>4198.46</v>
      </c>
      <c r="Q631" s="4">
        <v>0.15</v>
      </c>
      <c r="R631" s="4">
        <v>0.15</v>
      </c>
      <c r="S631" s="3">
        <v>10706.07</v>
      </c>
      <c r="T631" s="3">
        <v>5927.1</v>
      </c>
      <c r="U631" s="3">
        <v>4778.97</v>
      </c>
      <c r="V631" s="1" t="s">
        <v>43</v>
      </c>
      <c r="W631" s="1" t="s">
        <v>44</v>
      </c>
      <c r="X631" s="3">
        <f>IF(OR(O631="",P631="",R631=""),"",O631*P631*(1-R631))</f>
        <v>10706.07</v>
      </c>
      <c r="Y631" s="3">
        <f>IF(OR(X631="",T631=""),"",X631-T631)</f>
        <v>4778.97</v>
      </c>
      <c r="Z631" s="4">
        <f>IFERROR(Y631/X631,"")</f>
        <v>0.4464</v>
      </c>
      <c r="AA631" s="1">
        <f>IF(OR(C631="",D631=""),"",D631-C631)</f>
        <v>4</v>
      </c>
      <c r="AB631" s="1">
        <f>IF(C631="","",MONTH(C631))</f>
        <v>9</v>
      </c>
      <c r="AC631" s="1">
        <f>IF(C631="","",YEAR(C631))</f>
        <v>2025</v>
      </c>
      <c r="AD631" s="1" t="s">
        <v>45</v>
      </c>
      <c r="AE631" s="1" t="s">
        <v>46</v>
      </c>
      <c r="AF631" s="1" t="s">
        <v>47</v>
      </c>
    </row>
    <row r="632" spans="1:32" x14ac:dyDescent="0.25">
      <c r="A632" s="1">
        <v>632</v>
      </c>
      <c r="B632" s="1" t="s">
        <v>2044</v>
      </c>
      <c r="C632" s="2">
        <v>45390.77083333333</v>
      </c>
      <c r="D632" s="2">
        <v>45391.77083333333</v>
      </c>
      <c r="E632" s="1" t="s">
        <v>2045</v>
      </c>
      <c r="F632" s="1" t="s">
        <v>135</v>
      </c>
      <c r="G632" s="1" t="s">
        <v>109</v>
      </c>
      <c r="H632" s="1" t="s">
        <v>52</v>
      </c>
      <c r="I632" s="1" t="s">
        <v>191</v>
      </c>
      <c r="J632" s="1" t="s">
        <v>192</v>
      </c>
      <c r="K632" s="1" t="s">
        <v>39</v>
      </c>
      <c r="L632" s="1" t="s">
        <v>40</v>
      </c>
      <c r="M632" s="1" t="s">
        <v>2046</v>
      </c>
      <c r="N632" s="1" t="s">
        <v>76</v>
      </c>
      <c r="O632" s="1">
        <v>4</v>
      </c>
      <c r="P632" s="3">
        <v>3047.05</v>
      </c>
      <c r="Q632" s="4">
        <v>0.1</v>
      </c>
      <c r="R632" s="4">
        <v>0.1</v>
      </c>
      <c r="S632" s="3">
        <v>10969.38</v>
      </c>
      <c r="T632" s="3">
        <v>9254.46</v>
      </c>
      <c r="U632" s="3">
        <v>1714.92</v>
      </c>
      <c r="V632" s="1" t="s">
        <v>43</v>
      </c>
      <c r="W632" s="1" t="s">
        <v>44</v>
      </c>
      <c r="X632" s="3">
        <f>IF(OR(O632="",P632="",R632=""),"",O632*P632*(1-R632))</f>
        <v>10969.38</v>
      </c>
      <c r="Y632" s="3">
        <f>IF(OR(X632="",T632=""),"",X632-T632)</f>
        <v>1714.92</v>
      </c>
      <c r="Z632" s="4">
        <f>IFERROR(Y632/X632,"")</f>
        <v>0.1563</v>
      </c>
      <c r="AA632" s="1">
        <f>IF(OR(C632="",D632=""),"",D632-C632)</f>
        <v>1</v>
      </c>
      <c r="AB632" s="1">
        <f>IF(C632="","",MONTH(C632))</f>
        <v>4</v>
      </c>
      <c r="AC632" s="1">
        <f>IF(C632="","",YEAR(C632))</f>
        <v>2024</v>
      </c>
      <c r="AD632" s="1" t="s">
        <v>45</v>
      </c>
      <c r="AE632" s="1" t="s">
        <v>46</v>
      </c>
      <c r="AF632" s="1" t="s">
        <v>47</v>
      </c>
    </row>
    <row r="633" spans="1:32" x14ac:dyDescent="0.25">
      <c r="A633" s="1">
        <v>633</v>
      </c>
      <c r="B633" s="1" t="s">
        <v>2047</v>
      </c>
      <c r="C633" s="2">
        <v>45391.77083333333</v>
      </c>
      <c r="D633" s="2">
        <v>45396.77083333333</v>
      </c>
      <c r="E633" s="1" t="s">
        <v>2048</v>
      </c>
      <c r="F633" s="1" t="s">
        <v>149</v>
      </c>
      <c r="G633" s="1" t="s">
        <v>114</v>
      </c>
      <c r="H633" s="1" t="s">
        <v>80</v>
      </c>
      <c r="I633" s="1" t="s">
        <v>37</v>
      </c>
      <c r="J633" s="1" t="s">
        <v>129</v>
      </c>
      <c r="K633" s="1" t="s">
        <v>55</v>
      </c>
      <c r="L633" s="1" t="s">
        <v>83</v>
      </c>
      <c r="M633" s="1" t="s">
        <v>2049</v>
      </c>
      <c r="N633" s="1" t="s">
        <v>76</v>
      </c>
      <c r="O633" s="1">
        <v>8</v>
      </c>
      <c r="P633" s="3">
        <v>4362.48</v>
      </c>
      <c r="Q633" s="4">
        <v>0.1</v>
      </c>
      <c r="R633" s="4">
        <v>0.1</v>
      </c>
      <c r="S633" s="3">
        <v>31409.86</v>
      </c>
      <c r="T633" s="3">
        <v>22523.54</v>
      </c>
      <c r="U633" s="3">
        <v>8886.32</v>
      </c>
      <c r="V633" s="1" t="s">
        <v>43</v>
      </c>
      <c r="W633" s="1" t="s">
        <v>44</v>
      </c>
      <c r="X633" s="3">
        <f>IF(OR(O633="",P633="",R633=""),"",O633*P633*(1-R633))</f>
        <v>31409.86</v>
      </c>
      <c r="Y633" s="3">
        <f>IF(OR(X633="",T633=""),"",X633-T633)</f>
        <v>8886.32</v>
      </c>
      <c r="Z633" s="4">
        <f>IFERROR(Y633/X633,"")</f>
        <v>0.2829</v>
      </c>
      <c r="AA633" s="1">
        <f>IF(OR(C633="",D633=""),"",D633-C633)</f>
        <v>5</v>
      </c>
      <c r="AB633" s="1">
        <f>IF(C633="","",MONTH(C633))</f>
        <v>4</v>
      </c>
      <c r="AC633" s="1">
        <f>IF(C633="","",YEAR(C633))</f>
        <v>2024</v>
      </c>
      <c r="AD633" s="1" t="s">
        <v>45</v>
      </c>
      <c r="AE633" s="1" t="s">
        <v>46</v>
      </c>
      <c r="AF633" s="1" t="s">
        <v>47</v>
      </c>
    </row>
    <row r="634" spans="1:32" x14ac:dyDescent="0.25">
      <c r="A634" s="1">
        <v>634</v>
      </c>
      <c r="B634" s="1" t="s">
        <v>2050</v>
      </c>
      <c r="C634" s="2">
        <v>45761.77083333333</v>
      </c>
      <c r="D634" s="2">
        <v>45762.77083333333</v>
      </c>
      <c r="E634" s="1" t="s">
        <v>2051</v>
      </c>
      <c r="F634" s="1" t="s">
        <v>153</v>
      </c>
      <c r="G634" s="1" t="s">
        <v>51</v>
      </c>
      <c r="H634" s="1" t="s">
        <v>71</v>
      </c>
      <c r="I634" s="1" t="s">
        <v>201</v>
      </c>
      <c r="J634" s="1" t="s">
        <v>202</v>
      </c>
      <c r="K634" s="1" t="s">
        <v>55</v>
      </c>
      <c r="L634" s="1" t="s">
        <v>74</v>
      </c>
      <c r="M634" s="1" t="s">
        <v>2052</v>
      </c>
      <c r="N634" s="1" t="s">
        <v>64</v>
      </c>
      <c r="O634" s="1">
        <v>5</v>
      </c>
      <c r="P634" s="3">
        <v>2850.53</v>
      </c>
      <c r="Q634" s="4">
        <v>0</v>
      </c>
      <c r="R634" s="4">
        <v>0</v>
      </c>
      <c r="S634" s="3">
        <v>14252.65</v>
      </c>
      <c r="T634" s="3">
        <v>11558.31</v>
      </c>
      <c r="U634" s="3">
        <v>2694.34</v>
      </c>
      <c r="V634" s="1" t="s">
        <v>43</v>
      </c>
      <c r="W634" s="1" t="s">
        <v>44</v>
      </c>
      <c r="X634" s="3">
        <f>IF(OR(O634="",P634="",R634=""),"",O634*P634*(1-R634))</f>
        <v>14252.65</v>
      </c>
      <c r="Y634" s="3">
        <f>IF(OR(X634="",T634=""),"",X634-T634)</f>
        <v>2694.34</v>
      </c>
      <c r="Z634" s="4">
        <f>IFERROR(Y634/X634,"")</f>
        <v>0.189</v>
      </c>
      <c r="AA634" s="1">
        <f>IF(OR(C634="",D634=""),"",D634-C634)</f>
        <v>1</v>
      </c>
      <c r="AB634" s="1">
        <f>IF(C634="","",MONTH(C634))</f>
        <v>4</v>
      </c>
      <c r="AC634" s="1">
        <f>IF(C634="","",YEAR(C634))</f>
        <v>2025</v>
      </c>
      <c r="AD634" s="1" t="s">
        <v>45</v>
      </c>
      <c r="AE634" s="1" t="s">
        <v>46</v>
      </c>
      <c r="AF634" s="1" t="s">
        <v>47</v>
      </c>
    </row>
    <row r="635" spans="1:32" x14ac:dyDescent="0.25">
      <c r="A635" s="1">
        <v>635</v>
      </c>
      <c r="B635" s="1" t="s">
        <v>2053</v>
      </c>
      <c r="C635" s="2">
        <v>45764.77083333333</v>
      </c>
      <c r="D635" s="2">
        <v>45766.77083333333</v>
      </c>
      <c r="E635" s="1" t="s">
        <v>2054</v>
      </c>
      <c r="F635" s="1" t="s">
        <v>149</v>
      </c>
      <c r="G635" s="1" t="s">
        <v>51</v>
      </c>
      <c r="H635" s="1" t="s">
        <v>71</v>
      </c>
      <c r="I635" s="1" t="s">
        <v>277</v>
      </c>
      <c r="J635" s="1" t="s">
        <v>278</v>
      </c>
      <c r="K635" s="1" t="s">
        <v>93</v>
      </c>
      <c r="L635" s="1" t="s">
        <v>94</v>
      </c>
      <c r="M635" s="1" t="s">
        <v>2055</v>
      </c>
      <c r="N635" s="1" t="s">
        <v>42</v>
      </c>
      <c r="O635" s="1">
        <v>1</v>
      </c>
      <c r="P635" s="3">
        <v>1626.08</v>
      </c>
      <c r="Q635" s="4">
        <v>0.15</v>
      </c>
      <c r="R635" s="4">
        <v>0.15</v>
      </c>
      <c r="S635" s="3">
        <v>1382.17</v>
      </c>
      <c r="T635" s="3">
        <v>810.03</v>
      </c>
      <c r="U635" s="3">
        <v>572.14</v>
      </c>
      <c r="V635" s="1" t="s">
        <v>43</v>
      </c>
      <c r="W635" s="1" t="s">
        <v>44</v>
      </c>
      <c r="X635" s="3">
        <f>IF(OR(O635="",P635="",R635=""),"",O635*P635*(1-R635))</f>
        <v>1382.17</v>
      </c>
      <c r="Y635" s="3">
        <f>IF(OR(X635="",T635=""),"",X635-T635)</f>
        <v>572.14</v>
      </c>
      <c r="Z635" s="4">
        <f>IFERROR(Y635/X635,"")</f>
        <v>0.4139</v>
      </c>
      <c r="AA635" s="1">
        <f>IF(OR(C635="",D635=""),"",D635-C635)</f>
        <v>2</v>
      </c>
      <c r="AB635" s="1">
        <f>IF(C635="","",MONTH(C635))</f>
        <v>4</v>
      </c>
      <c r="AC635" s="1">
        <f>IF(C635="","",YEAR(C635))</f>
        <v>2025</v>
      </c>
      <c r="AD635" s="1" t="s">
        <v>45</v>
      </c>
      <c r="AE635" s="1" t="s">
        <v>46</v>
      </c>
      <c r="AF635" s="1" t="s">
        <v>47</v>
      </c>
    </row>
    <row r="636" spans="1:32" x14ac:dyDescent="0.25">
      <c r="A636" s="1">
        <v>636</v>
      </c>
      <c r="B636" s="1" t="s">
        <v>2056</v>
      </c>
      <c r="C636" s="2">
        <v>45667.77083333333</v>
      </c>
      <c r="D636" s="2">
        <v>45668.77083333333</v>
      </c>
      <c r="E636" s="1" t="s">
        <v>2057</v>
      </c>
      <c r="F636" s="1" t="s">
        <v>108</v>
      </c>
      <c r="G636" s="1" t="s">
        <v>35</v>
      </c>
      <c r="H636" s="1" t="s">
        <v>71</v>
      </c>
      <c r="I636" s="1" t="s">
        <v>72</v>
      </c>
      <c r="J636" s="1" t="s">
        <v>73</v>
      </c>
      <c r="K636" s="1" t="s">
        <v>55</v>
      </c>
      <c r="L636" s="1" t="s">
        <v>83</v>
      </c>
      <c r="M636" s="1" t="s">
        <v>2058</v>
      </c>
      <c r="N636" s="1" t="s">
        <v>42</v>
      </c>
      <c r="O636" s="1">
        <v>4</v>
      </c>
      <c r="P636" s="3">
        <v>2427.15</v>
      </c>
      <c r="Q636" s="4">
        <v>0.05</v>
      </c>
      <c r="R636" s="4">
        <v>0.05</v>
      </c>
      <c r="S636" s="3">
        <v>9223.17</v>
      </c>
      <c r="T636" s="3">
        <v>5103.7</v>
      </c>
      <c r="U636" s="3">
        <v>4119.47</v>
      </c>
      <c r="V636" s="1" t="s">
        <v>43</v>
      </c>
      <c r="W636" s="1" t="s">
        <v>44</v>
      </c>
      <c r="X636" s="3">
        <f>IF(OR(O636="",P636="",R636=""),"",O636*P636*(1-R636))</f>
        <v>9223.17</v>
      </c>
      <c r="Y636" s="3">
        <f>IF(OR(X636="",T636=""),"",X636-T636)</f>
        <v>4119.47</v>
      </c>
      <c r="Z636" s="4">
        <f>IFERROR(Y636/X636,"")</f>
        <v>0.4466</v>
      </c>
      <c r="AA636" s="1">
        <f>IF(OR(C636="",D636=""),"",D636-C636)</f>
        <v>1</v>
      </c>
      <c r="AB636" s="1">
        <f>IF(C636="","",MONTH(C636))</f>
        <v>1</v>
      </c>
      <c r="AC636" s="1">
        <f>IF(C636="","",YEAR(C636))</f>
        <v>2025</v>
      </c>
      <c r="AD636" s="1" t="s">
        <v>45</v>
      </c>
      <c r="AE636" s="1" t="s">
        <v>46</v>
      </c>
      <c r="AF636" s="1" t="s">
        <v>47</v>
      </c>
    </row>
    <row r="637" spans="1:32" x14ac:dyDescent="0.25">
      <c r="A637" s="1">
        <v>637</v>
      </c>
      <c r="B637" s="1" t="s">
        <v>2059</v>
      </c>
      <c r="C637" s="2">
        <v>45431.77083333333</v>
      </c>
      <c r="D637" s="2">
        <v>45436.77083333333</v>
      </c>
      <c r="E637" s="1" t="s">
        <v>2060</v>
      </c>
      <c r="F637" s="1" t="s">
        <v>50</v>
      </c>
      <c r="G637" s="1" t="s">
        <v>109</v>
      </c>
      <c r="H637" s="1" t="s">
        <v>71</v>
      </c>
      <c r="I637" s="1" t="s">
        <v>103</v>
      </c>
      <c r="J637" s="1" t="s">
        <v>104</v>
      </c>
      <c r="K637" s="1" t="s">
        <v>55</v>
      </c>
      <c r="L637" s="1" t="s">
        <v>83</v>
      </c>
      <c r="M637" s="1" t="s">
        <v>2061</v>
      </c>
      <c r="N637" s="1" t="s">
        <v>58</v>
      </c>
      <c r="O637" s="1">
        <v>7</v>
      </c>
      <c r="P637" s="3">
        <v>3122.85</v>
      </c>
      <c r="Q637" s="4">
        <v>0.25</v>
      </c>
      <c r="R637" s="4">
        <v>0.25</v>
      </c>
      <c r="S637" s="3">
        <v>16394.96</v>
      </c>
      <c r="T637" s="3">
        <v>10404.17</v>
      </c>
      <c r="U637" s="3">
        <v>5990.79</v>
      </c>
      <c r="V637" s="1" t="s">
        <v>43</v>
      </c>
      <c r="W637" s="1" t="s">
        <v>44</v>
      </c>
      <c r="X637" s="3">
        <f>IF(OR(O637="",P637="",R637=""),"",O637*P637*(1-R637))</f>
        <v>16394.96</v>
      </c>
      <c r="Y637" s="3">
        <f>IF(OR(X637="",T637=""),"",X637-T637)</f>
        <v>5990.79</v>
      </c>
      <c r="Z637" s="4">
        <f>IFERROR(Y637/X637,"")</f>
        <v>0.3654</v>
      </c>
      <c r="AA637" s="1">
        <f>IF(OR(C637="",D637=""),"",D637-C637)</f>
        <v>5</v>
      </c>
      <c r="AB637" s="1">
        <f>IF(C637="","",MONTH(C637))</f>
        <v>5</v>
      </c>
      <c r="AC637" s="1">
        <f>IF(C637="","",YEAR(C637))</f>
        <v>2024</v>
      </c>
      <c r="AD637" s="1" t="s">
        <v>45</v>
      </c>
      <c r="AE637" s="1" t="s">
        <v>46</v>
      </c>
      <c r="AF637" s="1" t="s">
        <v>47</v>
      </c>
    </row>
    <row r="638" spans="1:32" x14ac:dyDescent="0.25">
      <c r="A638" s="1">
        <v>638</v>
      </c>
      <c r="B638" s="1" t="s">
        <v>2062</v>
      </c>
      <c r="C638" s="2">
        <v>45566.77083333333</v>
      </c>
      <c r="D638" s="2">
        <v>45573.77083333333</v>
      </c>
      <c r="E638" s="1" t="s">
        <v>2063</v>
      </c>
      <c r="F638" s="1" t="s">
        <v>79</v>
      </c>
      <c r="G638" s="1" t="s">
        <v>35</v>
      </c>
      <c r="H638" s="1" t="s">
        <v>71</v>
      </c>
      <c r="I638" s="1" t="s">
        <v>277</v>
      </c>
      <c r="J638" s="1" t="s">
        <v>278</v>
      </c>
      <c r="K638" s="1" t="s">
        <v>39</v>
      </c>
      <c r="L638" s="1" t="s">
        <v>40</v>
      </c>
      <c r="M638" s="1" t="s">
        <v>2064</v>
      </c>
      <c r="N638" s="1" t="s">
        <v>76</v>
      </c>
      <c r="O638" s="1">
        <v>8</v>
      </c>
      <c r="P638" s="3">
        <v>1910.31</v>
      </c>
      <c r="Q638" s="4">
        <v>0.15</v>
      </c>
      <c r="R638" s="4">
        <v>0.15</v>
      </c>
      <c r="S638" s="3">
        <v>12990.11</v>
      </c>
      <c r="T638" s="3">
        <v>10200.8</v>
      </c>
      <c r="U638" s="3">
        <v>2789.31</v>
      </c>
      <c r="V638" s="1" t="s">
        <v>43</v>
      </c>
      <c r="W638" s="1" t="s">
        <v>44</v>
      </c>
      <c r="X638" s="3">
        <f>IF(OR(O638="",P638="",R638=""),"",O638*P638*(1-R638))</f>
        <v>12990.11</v>
      </c>
      <c r="Y638" s="3">
        <f>IF(OR(X638="",T638=""),"",X638-T638)</f>
        <v>2789.31</v>
      </c>
      <c r="Z638" s="4">
        <f>IFERROR(Y638/X638,"")</f>
        <v>0.2147</v>
      </c>
      <c r="AA638" s="1">
        <f>IF(OR(C638="",D638=""),"",D638-C638)</f>
        <v>7</v>
      </c>
      <c r="AB638" s="1">
        <f>IF(C638="","",MONTH(C638))</f>
        <v>10</v>
      </c>
      <c r="AC638" s="1">
        <f>IF(C638="","",YEAR(C638))</f>
        <v>2024</v>
      </c>
      <c r="AD638" s="1" t="s">
        <v>45</v>
      </c>
      <c r="AE638" s="1" t="s">
        <v>46</v>
      </c>
      <c r="AF638" s="1" t="s">
        <v>47</v>
      </c>
    </row>
    <row r="639" spans="1:32" x14ac:dyDescent="0.25">
      <c r="A639" s="1">
        <v>639</v>
      </c>
      <c r="B639" s="1" t="s">
        <v>2065</v>
      </c>
      <c r="C639" s="2">
        <v>45437.77083333333</v>
      </c>
      <c r="D639" s="2">
        <v>45437.77083333333</v>
      </c>
      <c r="E639" s="1" t="s">
        <v>2066</v>
      </c>
      <c r="F639" s="1" t="s">
        <v>139</v>
      </c>
      <c r="G639" s="1" t="s">
        <v>51</v>
      </c>
      <c r="H639" s="1" t="s">
        <v>80</v>
      </c>
      <c r="I639" s="1" t="s">
        <v>216</v>
      </c>
      <c r="J639" s="1" t="s">
        <v>217</v>
      </c>
      <c r="K639" s="1" t="s">
        <v>93</v>
      </c>
      <c r="L639" s="1" t="s">
        <v>99</v>
      </c>
      <c r="M639" s="1" t="s">
        <v>2067</v>
      </c>
      <c r="N639" s="1" t="s">
        <v>64</v>
      </c>
      <c r="O639" s="1">
        <v>2</v>
      </c>
      <c r="P639" s="3">
        <v>3192.47</v>
      </c>
      <c r="Q639" s="4">
        <v>0.2</v>
      </c>
      <c r="R639" s="4">
        <v>0.2</v>
      </c>
      <c r="S639" s="3">
        <v>5107.95</v>
      </c>
      <c r="T639" s="3">
        <v>3133.08</v>
      </c>
      <c r="U639" s="3">
        <v>1974.87</v>
      </c>
      <c r="V639" s="1" t="s">
        <v>43</v>
      </c>
      <c r="W639" s="1" t="s">
        <v>44</v>
      </c>
      <c r="X639" s="3">
        <f>IF(OR(O639="",P639="",R639=""),"",O639*P639*(1-R639))</f>
        <v>5107.95</v>
      </c>
      <c r="Y639" s="3">
        <f>IF(OR(X639="",T639=""),"",X639-T639)</f>
        <v>1974.87</v>
      </c>
      <c r="Z639" s="4">
        <f>IFERROR(Y639/X639,"")</f>
        <v>0.3866</v>
      </c>
      <c r="AA639" s="1">
        <f>IF(OR(C639="",D639=""),"",D639-C639)</f>
        <v>0</v>
      </c>
      <c r="AB639" s="1">
        <f>IF(C639="","",MONTH(C639))</f>
        <v>5</v>
      </c>
      <c r="AC639" s="1">
        <f>IF(C639="","",YEAR(C639))</f>
        <v>2024</v>
      </c>
      <c r="AD639" s="1" t="s">
        <v>45</v>
      </c>
      <c r="AE639" s="1" t="s">
        <v>46</v>
      </c>
      <c r="AF639" s="1" t="s">
        <v>47</v>
      </c>
    </row>
    <row r="640" spans="1:32" s="15" customFormat="1" x14ac:dyDescent="0.25">
      <c r="A640" s="16">
        <v>640</v>
      </c>
      <c r="B640" s="16" t="s">
        <v>2068</v>
      </c>
      <c r="C640" s="17">
        <v>45316.77083333333</v>
      </c>
      <c r="D640" s="17">
        <v>45321.77083333333</v>
      </c>
      <c r="E640" s="16" t="s">
        <v>2069</v>
      </c>
      <c r="F640" s="16" t="s">
        <v>34</v>
      </c>
      <c r="G640" s="16" t="s">
        <v>109</v>
      </c>
      <c r="H640" s="16" t="s">
        <v>71</v>
      </c>
      <c r="I640" s="16" t="s">
        <v>211</v>
      </c>
      <c r="J640" s="16" t="s">
        <v>212</v>
      </c>
      <c r="K640" s="16" t="s">
        <v>39</v>
      </c>
      <c r="L640" s="16" t="s">
        <v>145</v>
      </c>
      <c r="M640" s="16" t="s">
        <v>2070</v>
      </c>
      <c r="N640" s="16" t="s">
        <v>42</v>
      </c>
      <c r="O640" s="16">
        <v>3</v>
      </c>
      <c r="P640" s="18">
        <v>3224.32</v>
      </c>
      <c r="Q640" s="19">
        <v>0.2</v>
      </c>
      <c r="R640" s="19">
        <v>0.2</v>
      </c>
      <c r="S640" s="18">
        <v>7738.37</v>
      </c>
      <c r="T640" s="18">
        <v>4626.85</v>
      </c>
      <c r="U640" s="18">
        <v>3111.52</v>
      </c>
      <c r="V640" s="16" t="s">
        <v>178</v>
      </c>
      <c r="W640" s="16" t="s">
        <v>122</v>
      </c>
      <c r="X640" s="18">
        <f>IF(OR(O640="",P640="",R640=""),"",O640*P640*(1-R640))</f>
        <v>7738.37</v>
      </c>
      <c r="Y640" s="18">
        <f>IF(OR(X640="",T640=""),"",X640-T640)</f>
        <v>3111.52</v>
      </c>
      <c r="Z640" s="19">
        <f>IFERROR(Y640/X640,"")</f>
        <v>0.4021</v>
      </c>
      <c r="AA640" s="16">
        <f>IF(OR(C640="",D640=""),"",D640-C640)</f>
        <v>5</v>
      </c>
      <c r="AB640" s="16">
        <f>IF(C640="","",MONTH(C640))</f>
        <v>1</v>
      </c>
      <c r="AC640" s="16">
        <f>IF(C640="","",YEAR(C640))</f>
        <v>2024</v>
      </c>
      <c r="AD640" s="16" t="s">
        <v>86</v>
      </c>
      <c r="AE640" s="16" t="s">
        <v>66</v>
      </c>
      <c r="AF640" s="16" t="s">
        <v>179</v>
      </c>
    </row>
    <row r="641" spans="1:32" x14ac:dyDescent="0.25">
      <c r="A641" s="1">
        <v>641</v>
      </c>
      <c r="B641" s="1" t="s">
        <v>2071</v>
      </c>
      <c r="C641" s="2">
        <v>45652.77083333333</v>
      </c>
      <c r="D641" s="2">
        <v>45656.77083333333</v>
      </c>
      <c r="E641" s="1" t="s">
        <v>2072</v>
      </c>
      <c r="F641" s="1" t="s">
        <v>61</v>
      </c>
      <c r="G641" s="1" t="s">
        <v>51</v>
      </c>
      <c r="H641" s="1" t="s">
        <v>52</v>
      </c>
      <c r="I641" s="1" t="s">
        <v>53</v>
      </c>
      <c r="J641" s="1" t="s">
        <v>54</v>
      </c>
      <c r="K641" s="1" t="s">
        <v>55</v>
      </c>
      <c r="L641" s="1" t="s">
        <v>83</v>
      </c>
      <c r="M641" s="1" t="s">
        <v>2073</v>
      </c>
      <c r="N641" s="1" t="s">
        <v>42</v>
      </c>
      <c r="O641" s="1">
        <v>1</v>
      </c>
      <c r="P641" s="3">
        <v>1594.7</v>
      </c>
      <c r="Q641" s="4">
        <v>0.05</v>
      </c>
      <c r="R641" s="4">
        <v>0.05</v>
      </c>
      <c r="S641" s="3">
        <v>1514.96</v>
      </c>
      <c r="T641" s="3">
        <v>1046.17</v>
      </c>
      <c r="U641" s="3">
        <v>468.79</v>
      </c>
      <c r="V641" s="1" t="s">
        <v>43</v>
      </c>
      <c r="W641" s="1" t="s">
        <v>44</v>
      </c>
      <c r="X641" s="3">
        <f>IF(OR(O641="",P641="",R641=""),"",O641*P641*(1-R641))</f>
        <v>1514.97</v>
      </c>
      <c r="Y641" s="3">
        <f>IF(OR(X641="",T641=""),"",X641-T641)</f>
        <v>468.8</v>
      </c>
      <c r="Z641" s="4">
        <f>IFERROR(Y641/X641,"")</f>
        <v>0.3094</v>
      </c>
      <c r="AA641" s="1">
        <f>IF(OR(C641="",D641=""),"",D641-C641)</f>
        <v>4</v>
      </c>
      <c r="AB641" s="1">
        <f>IF(C641="","",MONTH(C641))</f>
        <v>12</v>
      </c>
      <c r="AC641" s="1">
        <f>IF(C641="","",YEAR(C641))</f>
        <v>2024</v>
      </c>
      <c r="AD641" s="1" t="s">
        <v>45</v>
      </c>
      <c r="AE641" s="1" t="s">
        <v>46</v>
      </c>
      <c r="AF641" s="1" t="s">
        <v>47</v>
      </c>
    </row>
    <row r="642" spans="1:32" x14ac:dyDescent="0.25">
      <c r="A642" s="1">
        <v>642</v>
      </c>
      <c r="B642" s="1" t="s">
        <v>2074</v>
      </c>
      <c r="C642" s="2">
        <v>45670.77083333333</v>
      </c>
      <c r="D642" s="2">
        <v>45673.77083333333</v>
      </c>
      <c r="E642" s="1" t="s">
        <v>2075</v>
      </c>
      <c r="F642" s="1" t="s">
        <v>90</v>
      </c>
      <c r="G642" s="1" t="s">
        <v>35</v>
      </c>
      <c r="H642" s="1" t="s">
        <v>80</v>
      </c>
      <c r="I642" s="1" t="s">
        <v>216</v>
      </c>
      <c r="J642" s="1" t="s">
        <v>217</v>
      </c>
      <c r="K642" s="1" t="s">
        <v>39</v>
      </c>
      <c r="L642" s="1" t="s">
        <v>145</v>
      </c>
      <c r="M642" s="1" t="s">
        <v>2076</v>
      </c>
      <c r="N642" s="1" t="s">
        <v>64</v>
      </c>
      <c r="O642" s="1">
        <v>1</v>
      </c>
      <c r="P642" s="3">
        <v>1584.12</v>
      </c>
      <c r="Q642" s="4">
        <v>0.2</v>
      </c>
      <c r="R642" s="4">
        <v>0.2</v>
      </c>
      <c r="S642" s="3">
        <v>1267.3</v>
      </c>
      <c r="T642" s="3">
        <v>923.53</v>
      </c>
      <c r="U642" s="3">
        <v>343.77</v>
      </c>
      <c r="V642" s="1" t="s">
        <v>43</v>
      </c>
      <c r="W642" s="1" t="s">
        <v>44</v>
      </c>
      <c r="X642" s="3">
        <f>IF(OR(O642="",P642="",R642=""),"",O642*P642*(1-R642))</f>
        <v>1267.3</v>
      </c>
      <c r="Y642" s="3">
        <f>IF(OR(X642="",T642=""),"",X642-T642)</f>
        <v>343.77</v>
      </c>
      <c r="Z642" s="4">
        <f>IFERROR(Y642/X642,"")</f>
        <v>0.2713</v>
      </c>
      <c r="AA642" s="1">
        <f>IF(OR(C642="",D642=""),"",D642-C642)</f>
        <v>3</v>
      </c>
      <c r="AB642" s="1">
        <f>IF(C642="","",MONTH(C642))</f>
        <v>1</v>
      </c>
      <c r="AC642" s="1">
        <f>IF(C642="","",YEAR(C642))</f>
        <v>2025</v>
      </c>
      <c r="AD642" s="1" t="s">
        <v>45</v>
      </c>
      <c r="AE642" s="1" t="s">
        <v>46</v>
      </c>
      <c r="AF642" s="1" t="s">
        <v>47</v>
      </c>
    </row>
    <row r="643" spans="1:32" x14ac:dyDescent="0.25">
      <c r="A643" s="1">
        <v>643</v>
      </c>
      <c r="B643" s="1" t="s">
        <v>2077</v>
      </c>
      <c r="C643" s="2">
        <v>45755.77083333333</v>
      </c>
      <c r="D643" s="2">
        <v>45760.77083333333</v>
      </c>
      <c r="E643" s="1" t="s">
        <v>2078</v>
      </c>
      <c r="F643" s="1" t="s">
        <v>34</v>
      </c>
      <c r="G643" s="1" t="s">
        <v>35</v>
      </c>
      <c r="H643" s="1" t="s">
        <v>36</v>
      </c>
      <c r="I643" s="1" t="s">
        <v>384</v>
      </c>
      <c r="J643" s="1" t="s">
        <v>385</v>
      </c>
      <c r="K643" s="1" t="s">
        <v>55</v>
      </c>
      <c r="L643" s="1" t="s">
        <v>74</v>
      </c>
      <c r="M643" s="1" t="s">
        <v>2079</v>
      </c>
      <c r="N643" s="1" t="s">
        <v>58</v>
      </c>
      <c r="O643" s="1">
        <v>2</v>
      </c>
      <c r="P643" s="3">
        <v>3202.87</v>
      </c>
      <c r="Q643" s="4">
        <v>0</v>
      </c>
      <c r="R643" s="4">
        <v>0</v>
      </c>
      <c r="S643" s="3">
        <v>6405.74</v>
      </c>
      <c r="T643" s="3">
        <v>3561.87</v>
      </c>
      <c r="U643" s="3">
        <v>2843.87</v>
      </c>
      <c r="V643" s="1" t="s">
        <v>43</v>
      </c>
      <c r="W643" s="1" t="s">
        <v>44</v>
      </c>
      <c r="X643" s="3">
        <f>IF(OR(O643="",P643="",R643=""),"",O643*P643*(1-R643))</f>
        <v>6405.74</v>
      </c>
      <c r="Y643" s="3">
        <f>IF(OR(X643="",T643=""),"",X643-T643)</f>
        <v>2843.87</v>
      </c>
      <c r="Z643" s="4">
        <f>IFERROR(Y643/X643,"")</f>
        <v>0.444</v>
      </c>
      <c r="AA643" s="1">
        <f>IF(OR(C643="",D643=""),"",D643-C643)</f>
        <v>5</v>
      </c>
      <c r="AB643" s="1">
        <f>IF(C643="","",MONTH(C643))</f>
        <v>4</v>
      </c>
      <c r="AC643" s="1">
        <f>IF(C643="","",YEAR(C643))</f>
        <v>2025</v>
      </c>
      <c r="AD643" s="1" t="s">
        <v>45</v>
      </c>
      <c r="AE643" s="1" t="s">
        <v>46</v>
      </c>
      <c r="AF643" s="1" t="s">
        <v>47</v>
      </c>
    </row>
    <row r="644" spans="1:32" s="15" customFormat="1" x14ac:dyDescent="0.25">
      <c r="A644" s="16">
        <v>644</v>
      </c>
      <c r="B644" s="16" t="s">
        <v>2080</v>
      </c>
      <c r="C644" s="17">
        <v>45532.77083333333</v>
      </c>
      <c r="D644" s="17">
        <v>45534.77083333333</v>
      </c>
      <c r="E644" s="16" t="s">
        <v>2081</v>
      </c>
      <c r="F644" s="16" t="s">
        <v>61</v>
      </c>
      <c r="G644" s="16" t="s">
        <v>114</v>
      </c>
      <c r="H644" s="16" t="s">
        <v>52</v>
      </c>
      <c r="I644" s="16" t="s">
        <v>191</v>
      </c>
      <c r="J644" s="16" t="s">
        <v>192</v>
      </c>
      <c r="K644" s="16" t="s">
        <v>39</v>
      </c>
      <c r="L644" s="16" t="s">
        <v>176</v>
      </c>
      <c r="M644" s="16" t="s">
        <v>2082</v>
      </c>
      <c r="N644" s="16" t="s">
        <v>42</v>
      </c>
      <c r="O644" s="16">
        <v>9</v>
      </c>
      <c r="P644" s="18">
        <v>1275.21</v>
      </c>
      <c r="Q644" s="19">
        <v>0.25</v>
      </c>
      <c r="R644" s="19">
        <v>0.25</v>
      </c>
      <c r="S644" s="18">
        <v>8607.67</v>
      </c>
      <c r="T644" s="18">
        <v>5337.64</v>
      </c>
      <c r="U644" s="18">
        <v>3270.03</v>
      </c>
      <c r="V644" s="16" t="s">
        <v>178</v>
      </c>
      <c r="W644" s="16" t="s">
        <v>122</v>
      </c>
      <c r="X644" s="18">
        <f>IF(OR(O644="",P644="",R644=""),"",O644*P644*(1-R644))</f>
        <v>8607.67</v>
      </c>
      <c r="Y644" s="18">
        <f>IF(OR(X644="",T644=""),"",X644-T644)</f>
        <v>3270.03</v>
      </c>
      <c r="Z644" s="19">
        <f>IFERROR(Y644/X644,"")</f>
        <v>0.3799</v>
      </c>
      <c r="AA644" s="16">
        <f>IF(OR(C644="",D644=""),"",D644-C644)</f>
        <v>2</v>
      </c>
      <c r="AB644" s="16">
        <f>IF(C644="","",MONTH(C644))</f>
        <v>8</v>
      </c>
      <c r="AC644" s="16">
        <f>IF(C644="","",YEAR(C644))</f>
        <v>2024</v>
      </c>
      <c r="AD644" s="16" t="s">
        <v>86</v>
      </c>
      <c r="AE644" s="16" t="s">
        <v>66</v>
      </c>
      <c r="AF644" s="16" t="s">
        <v>179</v>
      </c>
    </row>
    <row r="645" spans="1:32" s="15" customFormat="1" x14ac:dyDescent="0.25">
      <c r="A645" s="16">
        <v>645</v>
      </c>
      <c r="B645" s="16" t="s">
        <v>2083</v>
      </c>
      <c r="C645" s="17">
        <v>45326.77083333333</v>
      </c>
      <c r="D645" s="17">
        <v>45334.77083333333</v>
      </c>
      <c r="E645" s="16" t="s">
        <v>766</v>
      </c>
      <c r="F645" s="16" t="s">
        <v>149</v>
      </c>
      <c r="G645" s="16" t="s">
        <v>114</v>
      </c>
      <c r="H645" s="16" t="s">
        <v>36</v>
      </c>
      <c r="I645" s="16" t="s">
        <v>157</v>
      </c>
      <c r="J645" s="16" t="s">
        <v>158</v>
      </c>
      <c r="K645" s="16" t="s">
        <v>39</v>
      </c>
      <c r="L645" s="16" t="s">
        <v>110</v>
      </c>
      <c r="M645" s="16" t="s">
        <v>2084</v>
      </c>
      <c r="N645" s="16" t="s">
        <v>76</v>
      </c>
      <c r="O645" s="16">
        <v>8</v>
      </c>
      <c r="P645" s="18">
        <v>3871.18</v>
      </c>
      <c r="Q645" s="19">
        <v>0.15</v>
      </c>
      <c r="R645" s="19">
        <v>0.15</v>
      </c>
      <c r="S645" s="18">
        <v>26324.02</v>
      </c>
      <c r="T645" s="18">
        <v>16277.96</v>
      </c>
      <c r="U645" s="18">
        <v>10046.06</v>
      </c>
      <c r="V645" s="16" t="s">
        <v>178</v>
      </c>
      <c r="W645" s="16" t="s">
        <v>122</v>
      </c>
      <c r="X645" s="18">
        <f>IF(OR(O645="",P645="",R645=""),"",O645*P645*(1-R645))</f>
        <v>26324.02</v>
      </c>
      <c r="Y645" s="18">
        <f>IF(OR(X645="",T645=""),"",X645-T645)</f>
        <v>10046.06</v>
      </c>
      <c r="Z645" s="19">
        <f>IFERROR(Y645/X645,"")</f>
        <v>0.3816</v>
      </c>
      <c r="AA645" s="16">
        <f>IF(OR(C645="",D645=""),"",D645-C645)</f>
        <v>8</v>
      </c>
      <c r="AB645" s="16">
        <f>IF(C645="","",MONTH(C645))</f>
        <v>2</v>
      </c>
      <c r="AC645" s="16">
        <f>IF(C645="","",YEAR(C645))</f>
        <v>2024</v>
      </c>
      <c r="AD645" s="16" t="s">
        <v>86</v>
      </c>
      <c r="AE645" s="16" t="s">
        <v>66</v>
      </c>
      <c r="AF645" s="16" t="s">
        <v>179</v>
      </c>
    </row>
    <row r="646" spans="1:32" x14ac:dyDescent="0.25">
      <c r="A646" s="1">
        <v>646</v>
      </c>
      <c r="B646" s="1" t="s">
        <v>2085</v>
      </c>
      <c r="C646" s="2">
        <v>45756.77083333333</v>
      </c>
      <c r="D646" s="2">
        <v>45763.77083333333</v>
      </c>
      <c r="E646" s="1" t="s">
        <v>2086</v>
      </c>
      <c r="F646" s="1" t="s">
        <v>90</v>
      </c>
      <c r="G646" s="1" t="s">
        <v>35</v>
      </c>
      <c r="H646" s="1" t="s">
        <v>52</v>
      </c>
      <c r="I646" s="1" t="s">
        <v>118</v>
      </c>
      <c r="J646" s="1" t="s">
        <v>119</v>
      </c>
      <c r="K646" s="1" t="s">
        <v>55</v>
      </c>
      <c r="L646" s="1" t="s">
        <v>83</v>
      </c>
      <c r="M646" s="1" t="s">
        <v>2087</v>
      </c>
      <c r="N646" s="1" t="s">
        <v>76</v>
      </c>
      <c r="O646" s="1">
        <v>4</v>
      </c>
      <c r="P646" s="3">
        <v>3750.02</v>
      </c>
      <c r="Q646" s="4">
        <v>0.05</v>
      </c>
      <c r="R646" s="4">
        <v>0.05</v>
      </c>
      <c r="S646" s="3">
        <v>14250.08</v>
      </c>
      <c r="T646" s="3">
        <v>10914.92</v>
      </c>
      <c r="U646" s="3">
        <v>3335.16</v>
      </c>
      <c r="V646" s="1" t="s">
        <v>43</v>
      </c>
      <c r="W646" s="1" t="s">
        <v>44</v>
      </c>
      <c r="X646" s="3">
        <f>IF(OR(O646="",P646="",R646=""),"",O646*P646*(1-R646))</f>
        <v>14250.08</v>
      </c>
      <c r="Y646" s="3">
        <f>IF(OR(X646="",T646=""),"",X646-T646)</f>
        <v>3335.16</v>
      </c>
      <c r="Z646" s="4">
        <f>IFERROR(Y646/X646,"")</f>
        <v>0.234</v>
      </c>
      <c r="AA646" s="1">
        <f>IF(OR(C646="",D646=""),"",D646-C646)</f>
        <v>7</v>
      </c>
      <c r="AB646" s="1">
        <f>IF(C646="","",MONTH(C646))</f>
        <v>4</v>
      </c>
      <c r="AC646" s="1">
        <f>IF(C646="","",YEAR(C646))</f>
        <v>2025</v>
      </c>
      <c r="AD646" s="1" t="s">
        <v>45</v>
      </c>
      <c r="AE646" s="1" t="s">
        <v>46</v>
      </c>
      <c r="AF646" s="1" t="s">
        <v>47</v>
      </c>
    </row>
    <row r="647" spans="1:32" s="10" customFormat="1" x14ac:dyDescent="0.25">
      <c r="A647" s="11">
        <v>647</v>
      </c>
      <c r="B647" s="11" t="s">
        <v>2088</v>
      </c>
      <c r="C647" s="12">
        <v>45294.77083333333</v>
      </c>
      <c r="D647" s="12">
        <v>45299.77083333333</v>
      </c>
      <c r="E647" s="11" t="s">
        <v>2089</v>
      </c>
      <c r="F647" s="11" t="s">
        <v>294</v>
      </c>
      <c r="G647" s="11" t="s">
        <v>35</v>
      </c>
      <c r="H647" s="11" t="s">
        <v>52</v>
      </c>
      <c r="I647" s="11" t="s">
        <v>168</v>
      </c>
      <c r="J647" s="11" t="s">
        <v>169</v>
      </c>
      <c r="K647" s="11" t="s">
        <v>55</v>
      </c>
      <c r="L647" s="11" t="s">
        <v>83</v>
      </c>
      <c r="M647" s="11" t="s">
        <v>2090</v>
      </c>
      <c r="N647" s="11" t="s">
        <v>42</v>
      </c>
      <c r="O647" s="11">
        <v>6</v>
      </c>
      <c r="P647" s="13">
        <v>2423.61</v>
      </c>
      <c r="Q647" s="14">
        <v>0.1</v>
      </c>
      <c r="R647" s="14">
        <v>0.1</v>
      </c>
      <c r="S647" s="13">
        <v>13087.49</v>
      </c>
      <c r="T647" s="13">
        <v>7608.89</v>
      </c>
      <c r="U647" s="13">
        <v>5133.22</v>
      </c>
      <c r="V647" s="11" t="s">
        <v>43</v>
      </c>
      <c r="W647" s="11" t="s">
        <v>44</v>
      </c>
      <c r="X647" s="13">
        <f>IF(OR(O647="",P647="",R647=""),"",O647*P647*(1-R647))</f>
        <v>13087.49</v>
      </c>
      <c r="Y647" s="13">
        <f>IF(OR(X647="",T647=""),"",X647-T647)</f>
        <v>5478.6</v>
      </c>
      <c r="Z647" s="14">
        <f>IFERROR(Y647/X647,"")</f>
        <v>0.4186</v>
      </c>
      <c r="AA647" s="11">
        <f>IF(OR(C647="",D647=""),"",D647-C647)</f>
        <v>5</v>
      </c>
      <c r="AB647" s="11">
        <f>IF(C647="","",MONTH(C647))</f>
        <v>1</v>
      </c>
      <c r="AC647" s="11">
        <f>IF(C647="","",YEAR(C647))</f>
        <v>2024</v>
      </c>
      <c r="AD647" s="11" t="s">
        <v>65</v>
      </c>
      <c r="AE647" s="11" t="s">
        <v>66</v>
      </c>
      <c r="AF647" s="11" t="s">
        <v>332</v>
      </c>
    </row>
    <row r="648" spans="1:32" x14ac:dyDescent="0.25">
      <c r="A648" s="1">
        <v>648</v>
      </c>
      <c r="B648" s="1" t="s">
        <v>2091</v>
      </c>
      <c r="C648" s="2">
        <v>45552.77083333333</v>
      </c>
      <c r="D648" s="2">
        <v>45558.77083333333</v>
      </c>
      <c r="E648" s="1" t="s">
        <v>2092</v>
      </c>
      <c r="F648" s="1" t="s">
        <v>90</v>
      </c>
      <c r="G648" s="1" t="s">
        <v>51</v>
      </c>
      <c r="H648" s="1" t="s">
        <v>52</v>
      </c>
      <c r="I648" s="1" t="s">
        <v>258</v>
      </c>
      <c r="J648" s="1" t="s">
        <v>259</v>
      </c>
      <c r="K648" s="1" t="s">
        <v>93</v>
      </c>
      <c r="L648" s="1" t="s">
        <v>305</v>
      </c>
      <c r="M648" s="1" t="s">
        <v>2093</v>
      </c>
      <c r="N648" s="1" t="s">
        <v>64</v>
      </c>
      <c r="O648" s="1">
        <v>3</v>
      </c>
      <c r="P648" s="3">
        <v>729.14</v>
      </c>
      <c r="Q648" s="4">
        <v>0.25</v>
      </c>
      <c r="R648" s="4">
        <v>0.25</v>
      </c>
      <c r="S648" s="3">
        <v>1640.57</v>
      </c>
      <c r="T648" s="3">
        <v>1136.98</v>
      </c>
      <c r="U648" s="3">
        <v>503.59</v>
      </c>
      <c r="V648" s="1" t="s">
        <v>43</v>
      </c>
      <c r="W648" s="1" t="s">
        <v>44</v>
      </c>
      <c r="X648" s="3">
        <f>IF(OR(O648="",P648="",R648=""),"",O648*P648*(1-R648))</f>
        <v>1640.57</v>
      </c>
      <c r="Y648" s="3">
        <f>IF(OR(X648="",T648=""),"",X648-T648)</f>
        <v>503.59</v>
      </c>
      <c r="Z648" s="4">
        <f>IFERROR(Y648/X648,"")</f>
        <v>0.307</v>
      </c>
      <c r="AA648" s="1">
        <f>IF(OR(C648="",D648=""),"",D648-C648)</f>
        <v>6</v>
      </c>
      <c r="AB648" s="1">
        <f>IF(C648="","",MONTH(C648))</f>
        <v>9</v>
      </c>
      <c r="AC648" s="1">
        <f>IF(C648="","",YEAR(C648))</f>
        <v>2024</v>
      </c>
      <c r="AD648" s="1" t="s">
        <v>45</v>
      </c>
      <c r="AE648" s="1" t="s">
        <v>46</v>
      </c>
      <c r="AF648" s="1" t="s">
        <v>47</v>
      </c>
    </row>
    <row r="649" spans="1:32" x14ac:dyDescent="0.25">
      <c r="A649" s="1">
        <v>649</v>
      </c>
      <c r="B649" s="1" t="s">
        <v>2094</v>
      </c>
      <c r="C649" s="2">
        <v>45657.77083333333</v>
      </c>
      <c r="D649" s="2">
        <v>45665.77083333333</v>
      </c>
      <c r="E649" s="1" t="s">
        <v>2095</v>
      </c>
      <c r="F649" s="1" t="s">
        <v>163</v>
      </c>
      <c r="G649" s="1" t="s">
        <v>51</v>
      </c>
      <c r="H649" s="1" t="s">
        <v>36</v>
      </c>
      <c r="I649" s="1" t="s">
        <v>143</v>
      </c>
      <c r="J649" s="1" t="s">
        <v>144</v>
      </c>
      <c r="K649" s="1" t="s">
        <v>39</v>
      </c>
      <c r="L649" s="1" t="s">
        <v>62</v>
      </c>
      <c r="M649" s="1" t="s">
        <v>2096</v>
      </c>
      <c r="N649" s="1" t="s">
        <v>64</v>
      </c>
      <c r="O649" s="1">
        <v>8</v>
      </c>
      <c r="P649" s="3">
        <v>2123.81</v>
      </c>
      <c r="Q649" s="4">
        <v>0.15</v>
      </c>
      <c r="R649" s="4">
        <v>0.15</v>
      </c>
      <c r="S649" s="3">
        <v>14441.91</v>
      </c>
      <c r="T649" s="3">
        <v>10872.89</v>
      </c>
      <c r="U649" s="3">
        <v>3569.02</v>
      </c>
      <c r="V649" s="1" t="s">
        <v>43</v>
      </c>
      <c r="W649" s="1" t="s">
        <v>44</v>
      </c>
      <c r="X649" s="3">
        <f>IF(OR(O649="",P649="",R649=""),"",O649*P649*(1-R649))</f>
        <v>14441.91</v>
      </c>
      <c r="Y649" s="3">
        <f>IF(OR(X649="",T649=""),"",X649-T649)</f>
        <v>3569.02</v>
      </c>
      <c r="Z649" s="4">
        <f>IFERROR(Y649/X649,"")</f>
        <v>0.2471</v>
      </c>
      <c r="AA649" s="1">
        <f>IF(OR(C649="",D649=""),"",D649-C649)</f>
        <v>8</v>
      </c>
      <c r="AB649" s="1">
        <f>IF(C649="","",MONTH(C649))</f>
        <v>1</v>
      </c>
      <c r="AC649" s="1">
        <f>IF(C649="","",YEAR(C649))</f>
        <v>2025</v>
      </c>
      <c r="AD649" s="1" t="s">
        <v>45</v>
      </c>
      <c r="AE649" s="1" t="s">
        <v>46</v>
      </c>
      <c r="AF649" s="1" t="s">
        <v>47</v>
      </c>
    </row>
    <row r="650" spans="1:32" s="15" customFormat="1" x14ac:dyDescent="0.25">
      <c r="A650" s="16">
        <v>650</v>
      </c>
      <c r="B650" s="16" t="s">
        <v>2097</v>
      </c>
      <c r="C650" s="17">
        <v>45402.77083333333</v>
      </c>
      <c r="D650" s="17">
        <v>45405.77083333333</v>
      </c>
      <c r="E650" s="16" t="s">
        <v>2098</v>
      </c>
      <c r="F650" s="16" t="s">
        <v>98</v>
      </c>
      <c r="G650" s="16" t="s">
        <v>51</v>
      </c>
      <c r="H650" s="16" t="s">
        <v>71</v>
      </c>
      <c r="I650" s="16" t="s">
        <v>103</v>
      </c>
      <c r="J650" s="16" t="s">
        <v>104</v>
      </c>
      <c r="K650" s="16" t="s">
        <v>39</v>
      </c>
      <c r="L650" s="16" t="s">
        <v>62</v>
      </c>
      <c r="M650" s="16" t="s">
        <v>2099</v>
      </c>
      <c r="N650" s="16" t="s">
        <v>58</v>
      </c>
      <c r="O650" s="16">
        <v>9</v>
      </c>
      <c r="P650" s="18">
        <v>703.59</v>
      </c>
      <c r="Q650" s="19">
        <v>0.2</v>
      </c>
      <c r="R650" s="19">
        <v>0.2</v>
      </c>
      <c r="S650" s="18">
        <v>5065.85</v>
      </c>
      <c r="T650" s="18">
        <v>3517.23</v>
      </c>
      <c r="U650" s="18">
        <v>1548.62</v>
      </c>
      <c r="V650" s="16" t="s">
        <v>178</v>
      </c>
      <c r="W650" s="16" t="s">
        <v>122</v>
      </c>
      <c r="X650" s="18">
        <f>IF(OR(O650="",P650="",R650=""),"",O650*P650*(1-R650))</f>
        <v>5065.85</v>
      </c>
      <c r="Y650" s="18">
        <f>IF(OR(X650="",T650=""),"",X650-T650)</f>
        <v>1548.62</v>
      </c>
      <c r="Z650" s="19">
        <f>IFERROR(Y650/X650,"")</f>
        <v>0.3057</v>
      </c>
      <c r="AA650" s="16">
        <f>IF(OR(C650="",D650=""),"",D650-C650)</f>
        <v>3</v>
      </c>
      <c r="AB650" s="16">
        <f>IF(C650="","",MONTH(C650))</f>
        <v>4</v>
      </c>
      <c r="AC650" s="16">
        <f>IF(C650="","",YEAR(C650))</f>
        <v>2024</v>
      </c>
      <c r="AD650" s="16" t="s">
        <v>86</v>
      </c>
      <c r="AE650" s="16" t="s">
        <v>66</v>
      </c>
      <c r="AF650" s="16" t="s">
        <v>179</v>
      </c>
    </row>
    <row r="651" spans="1:32" x14ac:dyDescent="0.25">
      <c r="A651" s="1">
        <v>651</v>
      </c>
      <c r="B651" s="1" t="s">
        <v>2100</v>
      </c>
      <c r="C651" s="2">
        <v>45879.77083333333</v>
      </c>
      <c r="D651" s="2">
        <v>45887.77083333333</v>
      </c>
      <c r="E651" s="1" t="s">
        <v>2101</v>
      </c>
      <c r="F651" s="1" t="s">
        <v>294</v>
      </c>
      <c r="G651" s="1" t="s">
        <v>51</v>
      </c>
      <c r="H651" s="1" t="s">
        <v>71</v>
      </c>
      <c r="I651" s="1" t="s">
        <v>211</v>
      </c>
      <c r="J651" s="1" t="s">
        <v>212</v>
      </c>
      <c r="K651" s="1" t="s">
        <v>93</v>
      </c>
      <c r="L651" s="1" t="s">
        <v>94</v>
      </c>
      <c r="M651" s="1" t="s">
        <v>2102</v>
      </c>
      <c r="N651" s="1" t="s">
        <v>76</v>
      </c>
      <c r="O651" s="1">
        <v>4</v>
      </c>
      <c r="P651" s="3">
        <v>2258.96</v>
      </c>
      <c r="Q651" s="4">
        <v>0.25</v>
      </c>
      <c r="R651" s="4">
        <v>0.25</v>
      </c>
      <c r="S651" s="3">
        <v>6776.88</v>
      </c>
      <c r="T651" s="3">
        <v>3836.24</v>
      </c>
      <c r="U651" s="3">
        <v>2940.64</v>
      </c>
      <c r="V651" s="1" t="s">
        <v>43</v>
      </c>
      <c r="W651" s="1" t="s">
        <v>44</v>
      </c>
      <c r="X651" s="3">
        <f>IF(OR(O651="",P651="",R651=""),"",O651*P651*(1-R651))</f>
        <v>6776.88</v>
      </c>
      <c r="Y651" s="3">
        <f>IF(OR(X651="",T651=""),"",X651-T651)</f>
        <v>2940.64</v>
      </c>
      <c r="Z651" s="4">
        <f>IFERROR(Y651/X651,"")</f>
        <v>0.4339</v>
      </c>
      <c r="AA651" s="1">
        <f>IF(OR(C651="",D651=""),"",D651-C651)</f>
        <v>8</v>
      </c>
      <c r="AB651" s="1">
        <f>IF(C651="","",MONTH(C651))</f>
        <v>8</v>
      </c>
      <c r="AC651" s="1">
        <f>IF(C651="","",YEAR(C651))</f>
        <v>2025</v>
      </c>
      <c r="AD651" s="1" t="s">
        <v>45</v>
      </c>
      <c r="AE651" s="1" t="s">
        <v>46</v>
      </c>
      <c r="AF651" s="1" t="s">
        <v>47</v>
      </c>
    </row>
    <row r="652" spans="1:32" s="15" customFormat="1" x14ac:dyDescent="0.25">
      <c r="A652" s="16">
        <v>652</v>
      </c>
      <c r="B652" s="16" t="s">
        <v>2103</v>
      </c>
      <c r="C652" s="17">
        <v>45394.77083333333</v>
      </c>
      <c r="D652" s="17">
        <v>45402.77083333333</v>
      </c>
      <c r="E652" s="16" t="s">
        <v>412</v>
      </c>
      <c r="F652" s="16" t="s">
        <v>149</v>
      </c>
      <c r="G652" s="16" t="s">
        <v>114</v>
      </c>
      <c r="H652" s="16" t="s">
        <v>52</v>
      </c>
      <c r="I652" s="16" t="s">
        <v>168</v>
      </c>
      <c r="J652" s="16" t="s">
        <v>169</v>
      </c>
      <c r="K652" s="16" t="s">
        <v>93</v>
      </c>
      <c r="L652" s="16" t="s">
        <v>94</v>
      </c>
      <c r="M652" s="16" t="s">
        <v>2104</v>
      </c>
      <c r="N652" s="16" t="s">
        <v>58</v>
      </c>
      <c r="O652" s="16">
        <v>7</v>
      </c>
      <c r="P652" s="18">
        <v>2648.76</v>
      </c>
      <c r="Q652" s="19">
        <v>0.15</v>
      </c>
      <c r="R652" s="19">
        <v>0.15</v>
      </c>
      <c r="S652" s="18">
        <v>15760.12</v>
      </c>
      <c r="T652" s="18">
        <v>9931.53</v>
      </c>
      <c r="U652" s="18">
        <v>5828.59</v>
      </c>
      <c r="V652" s="16" t="s">
        <v>178</v>
      </c>
      <c r="W652" s="16" t="s">
        <v>122</v>
      </c>
      <c r="X652" s="18">
        <f>IF(OR(O652="",P652="",R652=""),"",O652*P652*(1-R652))</f>
        <v>15760.12</v>
      </c>
      <c r="Y652" s="18">
        <f>IF(OR(X652="",T652=""),"",X652-T652)</f>
        <v>5828.59</v>
      </c>
      <c r="Z652" s="19">
        <f>IFERROR(Y652/X652,"")</f>
        <v>0.3698</v>
      </c>
      <c r="AA652" s="16">
        <f>IF(OR(C652="",D652=""),"",D652-C652)</f>
        <v>8</v>
      </c>
      <c r="AB652" s="16">
        <f>IF(C652="","",MONTH(C652))</f>
        <v>4</v>
      </c>
      <c r="AC652" s="16">
        <f>IF(C652="","",YEAR(C652))</f>
        <v>2024</v>
      </c>
      <c r="AD652" s="16" t="s">
        <v>86</v>
      </c>
      <c r="AE652" s="16" t="s">
        <v>66</v>
      </c>
      <c r="AF652" s="16" t="s">
        <v>179</v>
      </c>
    </row>
    <row r="653" spans="1:32" x14ac:dyDescent="0.25">
      <c r="A653" s="1">
        <v>653</v>
      </c>
      <c r="B653" s="1" t="s">
        <v>2105</v>
      </c>
      <c r="C653" s="2">
        <v>45874.77083333333</v>
      </c>
      <c r="D653" s="2">
        <v>45877.77083333333</v>
      </c>
      <c r="E653" s="1" t="s">
        <v>2106</v>
      </c>
      <c r="F653" s="1" t="s">
        <v>50</v>
      </c>
      <c r="G653" s="1" t="s">
        <v>51</v>
      </c>
      <c r="H653" s="1" t="s">
        <v>71</v>
      </c>
      <c r="I653" s="1" t="s">
        <v>103</v>
      </c>
      <c r="J653" s="1" t="s">
        <v>104</v>
      </c>
      <c r="K653" s="1" t="s">
        <v>39</v>
      </c>
      <c r="L653" s="1" t="s">
        <v>40</v>
      </c>
      <c r="M653" s="1" t="s">
        <v>2107</v>
      </c>
      <c r="N653" s="1" t="s">
        <v>42</v>
      </c>
      <c r="O653" s="1">
        <v>3</v>
      </c>
      <c r="P653" s="3">
        <v>598.55</v>
      </c>
      <c r="Q653" s="4">
        <v>0</v>
      </c>
      <c r="R653" s="4">
        <v>0</v>
      </c>
      <c r="S653" s="3">
        <v>1795.65</v>
      </c>
      <c r="T653" s="3">
        <v>996.72</v>
      </c>
      <c r="U653" s="3">
        <v>798.93</v>
      </c>
      <c r="V653" s="1" t="s">
        <v>43</v>
      </c>
      <c r="W653" s="1" t="s">
        <v>44</v>
      </c>
      <c r="X653" s="3">
        <f>IF(OR(O653="",P653="",R653=""),"",O653*P653*(1-R653))</f>
        <v>1795.65</v>
      </c>
      <c r="Y653" s="3">
        <f>IF(OR(X653="",T653=""),"",X653-T653)</f>
        <v>798.93</v>
      </c>
      <c r="Z653" s="4">
        <f>IFERROR(Y653/X653,"")</f>
        <v>0.4449</v>
      </c>
      <c r="AA653" s="1">
        <f>IF(OR(C653="",D653=""),"",D653-C653)</f>
        <v>3</v>
      </c>
      <c r="AB653" s="1">
        <f>IF(C653="","",MONTH(C653))</f>
        <v>8</v>
      </c>
      <c r="AC653" s="1">
        <f>IF(C653="","",YEAR(C653))</f>
        <v>2025</v>
      </c>
      <c r="AD653" s="1" t="s">
        <v>45</v>
      </c>
      <c r="AE653" s="1" t="s">
        <v>46</v>
      </c>
      <c r="AF653" s="1" t="s">
        <v>47</v>
      </c>
    </row>
    <row r="654" spans="1:32" x14ac:dyDescent="0.25">
      <c r="A654" s="1">
        <v>654</v>
      </c>
      <c r="B654" s="1" t="s">
        <v>2108</v>
      </c>
      <c r="C654" s="2">
        <v>45732.77083333333</v>
      </c>
      <c r="D654" s="2">
        <v>45736.77083333333</v>
      </c>
      <c r="E654" s="1" t="s">
        <v>1750</v>
      </c>
      <c r="F654" s="1" t="s">
        <v>153</v>
      </c>
      <c r="G654" s="1" t="s">
        <v>35</v>
      </c>
      <c r="H654" s="1" t="s">
        <v>36</v>
      </c>
      <c r="I654" s="1" t="s">
        <v>157</v>
      </c>
      <c r="J654" s="1" t="s">
        <v>158</v>
      </c>
      <c r="K654" s="1" t="s">
        <v>39</v>
      </c>
      <c r="L654" s="1" t="s">
        <v>176</v>
      </c>
      <c r="M654" s="1" t="s">
        <v>2109</v>
      </c>
      <c r="N654" s="1" t="s">
        <v>76</v>
      </c>
      <c r="O654" s="1">
        <v>5</v>
      </c>
      <c r="P654" s="3">
        <v>4320.59</v>
      </c>
      <c r="Q654" s="4">
        <v>0.15</v>
      </c>
      <c r="R654" s="4">
        <v>0.15</v>
      </c>
      <c r="S654" s="3">
        <v>18362.51</v>
      </c>
      <c r="T654" s="3">
        <v>11133.97</v>
      </c>
      <c r="U654" s="3">
        <v>7228.54</v>
      </c>
      <c r="V654" s="1" t="s">
        <v>43</v>
      </c>
      <c r="W654" s="1" t="s">
        <v>44</v>
      </c>
      <c r="X654" s="3">
        <f>IF(OR(O654="",P654="",R654=""),"",O654*P654*(1-R654))</f>
        <v>18362.51</v>
      </c>
      <c r="Y654" s="3">
        <f>IF(OR(X654="",T654=""),"",X654-T654)</f>
        <v>7228.54</v>
      </c>
      <c r="Z654" s="4">
        <f>IFERROR(Y654/X654,"")</f>
        <v>0.3937</v>
      </c>
      <c r="AA654" s="1">
        <f>IF(OR(C654="",D654=""),"",D654-C654)</f>
        <v>4</v>
      </c>
      <c r="AB654" s="1">
        <f>IF(C654="","",MONTH(C654))</f>
        <v>3</v>
      </c>
      <c r="AC654" s="1">
        <f>IF(C654="","",YEAR(C654))</f>
        <v>2025</v>
      </c>
      <c r="AD654" s="1" t="s">
        <v>45</v>
      </c>
      <c r="AE654" s="1" t="s">
        <v>46</v>
      </c>
      <c r="AF654" s="1" t="s">
        <v>47</v>
      </c>
    </row>
    <row r="655" spans="1:32" x14ac:dyDescent="0.25">
      <c r="A655" s="1">
        <v>655</v>
      </c>
      <c r="B655" s="1" t="s">
        <v>2110</v>
      </c>
      <c r="C655" s="2">
        <v>45750.77083333333</v>
      </c>
      <c r="D655" s="2">
        <v>45753.77083333333</v>
      </c>
      <c r="E655" s="1" t="s">
        <v>2111</v>
      </c>
      <c r="F655" s="1" t="s">
        <v>135</v>
      </c>
      <c r="G655" s="1" t="s">
        <v>51</v>
      </c>
      <c r="H655" s="1" t="s">
        <v>71</v>
      </c>
      <c r="I655" s="1" t="s">
        <v>277</v>
      </c>
      <c r="J655" s="1" t="s">
        <v>278</v>
      </c>
      <c r="K655" s="1" t="s">
        <v>93</v>
      </c>
      <c r="L655" s="1" t="s">
        <v>99</v>
      </c>
      <c r="M655" s="1" t="s">
        <v>2112</v>
      </c>
      <c r="N655" s="1" t="s">
        <v>42</v>
      </c>
      <c r="O655" s="1">
        <v>7</v>
      </c>
      <c r="P655" s="3">
        <v>4457.93</v>
      </c>
      <c r="Q655" s="4">
        <v>0.15</v>
      </c>
      <c r="R655" s="4">
        <v>0.15</v>
      </c>
      <c r="S655" s="3">
        <v>26524.68</v>
      </c>
      <c r="T655" s="3">
        <v>20574.3</v>
      </c>
      <c r="U655" s="3">
        <v>5950.38</v>
      </c>
      <c r="V655" s="1" t="s">
        <v>43</v>
      </c>
      <c r="W655" s="1" t="s">
        <v>44</v>
      </c>
      <c r="X655" s="3">
        <f>IF(OR(O655="",P655="",R655=""),"",O655*P655*(1-R655))</f>
        <v>26524.68</v>
      </c>
      <c r="Y655" s="3">
        <f>IF(OR(X655="",T655=""),"",X655-T655)</f>
        <v>5950.38</v>
      </c>
      <c r="Z655" s="4">
        <f>IFERROR(Y655/X655,"")</f>
        <v>0.2243</v>
      </c>
      <c r="AA655" s="1">
        <f>IF(OR(C655="",D655=""),"",D655-C655)</f>
        <v>3</v>
      </c>
      <c r="AB655" s="1">
        <f>IF(C655="","",MONTH(C655))</f>
        <v>4</v>
      </c>
      <c r="AC655" s="1">
        <f>IF(C655="","",YEAR(C655))</f>
        <v>2025</v>
      </c>
      <c r="AD655" s="1" t="s">
        <v>45</v>
      </c>
      <c r="AE655" s="1" t="s">
        <v>46</v>
      </c>
      <c r="AF655" s="1" t="s">
        <v>47</v>
      </c>
    </row>
    <row r="656" spans="1:32" x14ac:dyDescent="0.25">
      <c r="A656" s="1">
        <v>656</v>
      </c>
      <c r="B656" s="1" t="s">
        <v>2113</v>
      </c>
      <c r="C656" s="2">
        <v>45941.77083333333</v>
      </c>
      <c r="D656" s="2">
        <v>45945.77083333333</v>
      </c>
      <c r="E656" s="1" t="s">
        <v>976</v>
      </c>
      <c r="F656" s="1" t="s">
        <v>186</v>
      </c>
      <c r="G656" s="1" t="s">
        <v>109</v>
      </c>
      <c r="H656" s="1" t="s">
        <v>52</v>
      </c>
      <c r="I656" s="1" t="s">
        <v>168</v>
      </c>
      <c r="J656" s="1" t="s">
        <v>169</v>
      </c>
      <c r="K656" s="1" t="s">
        <v>93</v>
      </c>
      <c r="L656" s="1" t="s">
        <v>305</v>
      </c>
      <c r="M656" s="1" t="s">
        <v>2114</v>
      </c>
      <c r="N656" s="1" t="s">
        <v>58</v>
      </c>
      <c r="O656" s="1">
        <v>1</v>
      </c>
      <c r="P656" s="3">
        <v>2570.06</v>
      </c>
      <c r="Q656" s="4">
        <v>0.2</v>
      </c>
      <c r="R656" s="4">
        <v>0.2</v>
      </c>
      <c r="S656" s="3">
        <v>2056.05</v>
      </c>
      <c r="T656" s="3">
        <v>1662.39</v>
      </c>
      <c r="U656" s="3">
        <v>393.66</v>
      </c>
      <c r="V656" s="1" t="s">
        <v>43</v>
      </c>
      <c r="W656" s="1" t="s">
        <v>44</v>
      </c>
      <c r="X656" s="3">
        <f>IF(OR(O656="",P656="",R656=""),"",O656*P656*(1-R656))</f>
        <v>2056.05</v>
      </c>
      <c r="Y656" s="3">
        <f>IF(OR(X656="",T656=""),"",X656-T656)</f>
        <v>393.66</v>
      </c>
      <c r="Z656" s="4">
        <f>IFERROR(Y656/X656,"")</f>
        <v>0.1915</v>
      </c>
      <c r="AA656" s="1">
        <f>IF(OR(C656="",D656=""),"",D656-C656)</f>
        <v>4</v>
      </c>
      <c r="AB656" s="1">
        <f>IF(C656="","",MONTH(C656))</f>
        <v>10</v>
      </c>
      <c r="AC656" s="1">
        <f>IF(C656="","",YEAR(C656))</f>
        <v>2025</v>
      </c>
      <c r="AD656" s="1" t="s">
        <v>45</v>
      </c>
      <c r="AE656" s="1" t="s">
        <v>46</v>
      </c>
      <c r="AF656" s="1" t="s">
        <v>47</v>
      </c>
    </row>
    <row r="657" spans="1:32" x14ac:dyDescent="0.25">
      <c r="A657" s="1">
        <v>657</v>
      </c>
      <c r="B657" s="1" t="s">
        <v>2115</v>
      </c>
      <c r="C657" s="2">
        <v>45894.77083333333</v>
      </c>
      <c r="D657" s="2">
        <v>45894.77083333333</v>
      </c>
      <c r="E657" s="1" t="s">
        <v>2116</v>
      </c>
      <c r="F657" s="1" t="s">
        <v>98</v>
      </c>
      <c r="G657" s="1" t="s">
        <v>114</v>
      </c>
      <c r="H657" s="1" t="s">
        <v>52</v>
      </c>
      <c r="I657" s="1" t="s">
        <v>118</v>
      </c>
      <c r="J657" s="1" t="s">
        <v>119</v>
      </c>
      <c r="K657" s="1" t="s">
        <v>55</v>
      </c>
      <c r="L657" s="1" t="s">
        <v>74</v>
      </c>
      <c r="M657" s="1" t="s">
        <v>2117</v>
      </c>
      <c r="N657" s="1" t="s">
        <v>76</v>
      </c>
      <c r="O657" s="1">
        <v>4</v>
      </c>
      <c r="P657" s="3">
        <v>2151.82</v>
      </c>
      <c r="Q657" s="4">
        <v>0</v>
      </c>
      <c r="R657" s="4">
        <v>0</v>
      </c>
      <c r="S657" s="3">
        <v>8607.28</v>
      </c>
      <c r="T657" s="3">
        <v>5124.01</v>
      </c>
      <c r="U657" s="3">
        <v>3483.27</v>
      </c>
      <c r="V657" s="1" t="s">
        <v>43</v>
      </c>
      <c r="W657" s="1" t="s">
        <v>44</v>
      </c>
      <c r="X657" s="3">
        <f>IF(OR(O657="",P657="",R657=""),"",O657*P657*(1-R657))</f>
        <v>8607.28</v>
      </c>
      <c r="Y657" s="3">
        <f>IF(OR(X657="",T657=""),"",X657-T657)</f>
        <v>3483.27</v>
      </c>
      <c r="Z657" s="4">
        <f>IFERROR(Y657/X657,"")</f>
        <v>0.4047</v>
      </c>
      <c r="AA657" s="1">
        <f>IF(OR(C657="",D657=""),"",D657-C657)</f>
        <v>0</v>
      </c>
      <c r="AB657" s="1">
        <f>IF(C657="","",MONTH(C657))</f>
        <v>8</v>
      </c>
      <c r="AC657" s="1">
        <f>IF(C657="","",YEAR(C657))</f>
        <v>2025</v>
      </c>
      <c r="AD657" s="1" t="s">
        <v>45</v>
      </c>
      <c r="AE657" s="1" t="s">
        <v>46</v>
      </c>
      <c r="AF657" s="1" t="s">
        <v>47</v>
      </c>
    </row>
    <row r="658" spans="1:32" s="10" customFormat="1" x14ac:dyDescent="0.25">
      <c r="A658" s="11">
        <v>658</v>
      </c>
      <c r="B658" s="11" t="s">
        <v>2118</v>
      </c>
      <c r="C658" s="12">
        <v>45418.77083333333</v>
      </c>
      <c r="D658" s="12">
        <v>45425.77083333333</v>
      </c>
      <c r="E658" s="11" t="s">
        <v>2119</v>
      </c>
      <c r="F658" s="11" t="s">
        <v>98</v>
      </c>
      <c r="G658" s="11" t="s">
        <v>51</v>
      </c>
      <c r="H658" s="11" t="s">
        <v>36</v>
      </c>
      <c r="I658" s="11" t="s">
        <v>266</v>
      </c>
      <c r="J658" s="11" t="s">
        <v>267</v>
      </c>
      <c r="K658" s="11" t="s">
        <v>93</v>
      </c>
      <c r="L658" s="11" t="s">
        <v>305</v>
      </c>
      <c r="M658" s="11" t="s">
        <v>2120</v>
      </c>
      <c r="N658" s="11" t="s">
        <v>58</v>
      </c>
      <c r="O658" s="11">
        <v>4</v>
      </c>
      <c r="P658" s="13">
        <v>2751.1</v>
      </c>
      <c r="Q658" s="14">
        <v>-0.05</v>
      </c>
      <c r="R658" s="14">
        <v>-0.05</v>
      </c>
      <c r="S658" s="13">
        <v>9903.96</v>
      </c>
      <c r="T658" s="13">
        <v>7696.28</v>
      </c>
      <c r="U658" s="13">
        <v>2207.68</v>
      </c>
      <c r="V658" s="11" t="s">
        <v>43</v>
      </c>
      <c r="W658" s="11" t="s">
        <v>44</v>
      </c>
      <c r="X658" s="13">
        <f>IF(OR(O658="",P658="",R658=""),"",O658*P658*(1-R658))</f>
        <v>11554.62</v>
      </c>
      <c r="Y658" s="13">
        <f>IF(OR(X658="",T658=""),"",X658-T658)</f>
        <v>3858.34</v>
      </c>
      <c r="Z658" s="14">
        <f>IFERROR(Y658/X658,"")</f>
        <v>0.3339</v>
      </c>
      <c r="AA658" s="11">
        <f>IF(OR(C658="",D658=""),"",D658-C658)</f>
        <v>7</v>
      </c>
      <c r="AB658" s="11">
        <f>IF(C658="","",MONTH(C658))</f>
        <v>5</v>
      </c>
      <c r="AC658" s="11">
        <f>IF(C658="","",YEAR(C658))</f>
        <v>2024</v>
      </c>
      <c r="AD658" s="11" t="s">
        <v>65</v>
      </c>
      <c r="AE658" s="11" t="s">
        <v>66</v>
      </c>
      <c r="AF658" s="11" t="s">
        <v>165</v>
      </c>
    </row>
    <row r="659" spans="1:32" x14ac:dyDescent="0.25">
      <c r="A659" s="1">
        <v>659</v>
      </c>
      <c r="B659" s="1" t="s">
        <v>2121</v>
      </c>
      <c r="C659" s="2">
        <v>45875.77083333333</v>
      </c>
      <c r="D659" s="2">
        <v>45878.77083333333</v>
      </c>
      <c r="E659" s="1" t="s">
        <v>2122</v>
      </c>
      <c r="F659" s="1" t="s">
        <v>108</v>
      </c>
      <c r="G659" s="1" t="s">
        <v>114</v>
      </c>
      <c r="H659" s="1" t="s">
        <v>52</v>
      </c>
      <c r="I659" s="1" t="s">
        <v>168</v>
      </c>
      <c r="J659" s="1" t="s">
        <v>169</v>
      </c>
      <c r="K659" s="1" t="s">
        <v>39</v>
      </c>
      <c r="L659" s="1" t="s">
        <v>145</v>
      </c>
      <c r="M659" s="1" t="s">
        <v>2123</v>
      </c>
      <c r="N659" s="1" t="s">
        <v>42</v>
      </c>
      <c r="O659" s="1">
        <v>1</v>
      </c>
      <c r="P659" s="3">
        <v>2541.25</v>
      </c>
      <c r="Q659" s="4">
        <v>0.2</v>
      </c>
      <c r="R659" s="4">
        <v>0.2</v>
      </c>
      <c r="S659" s="3">
        <v>2033</v>
      </c>
      <c r="T659" s="3">
        <v>1291.41</v>
      </c>
      <c r="U659" s="3">
        <v>741.59</v>
      </c>
      <c r="V659" s="1" t="s">
        <v>43</v>
      </c>
      <c r="W659" s="1" t="s">
        <v>44</v>
      </c>
      <c r="X659" s="3">
        <f>IF(OR(O659="",P659="",R659=""),"",O659*P659*(1-R659))</f>
        <v>2033</v>
      </c>
      <c r="Y659" s="3">
        <f>IF(OR(X659="",T659=""),"",X659-T659)</f>
        <v>741.59</v>
      </c>
      <c r="Z659" s="4">
        <f>IFERROR(Y659/X659,"")</f>
        <v>0.3648</v>
      </c>
      <c r="AA659" s="1">
        <f>IF(OR(C659="",D659=""),"",D659-C659)</f>
        <v>3</v>
      </c>
      <c r="AB659" s="1">
        <f>IF(C659="","",MONTH(C659))</f>
        <v>8</v>
      </c>
      <c r="AC659" s="1">
        <f>IF(C659="","",YEAR(C659))</f>
        <v>2025</v>
      </c>
      <c r="AD659" s="1" t="s">
        <v>45</v>
      </c>
      <c r="AE659" s="1" t="s">
        <v>46</v>
      </c>
      <c r="AF659" s="1" t="s">
        <v>47</v>
      </c>
    </row>
    <row r="660" spans="1:32" s="15" customFormat="1" x14ac:dyDescent="0.25">
      <c r="A660" s="16">
        <v>660</v>
      </c>
      <c r="B660" s="16" t="s">
        <v>2124</v>
      </c>
      <c r="C660" s="17">
        <v>45816.77083333333</v>
      </c>
      <c r="D660" s="17">
        <v>45819.77083333333</v>
      </c>
      <c r="E660" s="16" t="s">
        <v>2125</v>
      </c>
      <c r="F660" s="16" t="s">
        <v>153</v>
      </c>
      <c r="G660" s="16" t="s">
        <v>35</v>
      </c>
      <c r="H660" s="16" t="s">
        <v>232</v>
      </c>
      <c r="I660" s="16" t="s">
        <v>168</v>
      </c>
      <c r="J660" s="16" t="s">
        <v>169</v>
      </c>
      <c r="K660" s="16" t="s">
        <v>39</v>
      </c>
      <c r="L660" s="16" t="s">
        <v>62</v>
      </c>
      <c r="M660" s="16" t="s">
        <v>2126</v>
      </c>
      <c r="N660" s="16" t="s">
        <v>64</v>
      </c>
      <c r="O660" s="16">
        <v>7</v>
      </c>
      <c r="P660" s="18">
        <v>2852.42</v>
      </c>
      <c r="Q660" s="19">
        <v>0</v>
      </c>
      <c r="R660" s="19">
        <v>0</v>
      </c>
      <c r="S660" s="18">
        <v>19966.94</v>
      </c>
      <c r="T660" s="18">
        <v>12690.83</v>
      </c>
      <c r="U660" s="18">
        <v>7276.11</v>
      </c>
      <c r="V660" s="16" t="s">
        <v>121</v>
      </c>
      <c r="W660" s="16" t="s">
        <v>85</v>
      </c>
      <c r="X660" s="18">
        <f>IF(OR(O660="",P660="",R660=""),"",O660*P660*(1-R660))</f>
        <v>19966.94</v>
      </c>
      <c r="Y660" s="18">
        <f>IF(OR(X660="",T660=""),"",X660-T660)</f>
        <v>7276.11</v>
      </c>
      <c r="Z660" s="19">
        <f>IFERROR(Y660/X660,"")</f>
        <v>0.3644</v>
      </c>
      <c r="AA660" s="16">
        <f>IF(OR(C660="",D660=""),"",D660-C660)</f>
        <v>3</v>
      </c>
      <c r="AB660" s="16">
        <f>IF(C660="","",MONTH(C660))</f>
        <v>6</v>
      </c>
      <c r="AC660" s="16">
        <f>IF(C660="","",YEAR(C660))</f>
        <v>2025</v>
      </c>
      <c r="AD660" s="16" t="s">
        <v>86</v>
      </c>
      <c r="AE660" s="16" t="s">
        <v>66</v>
      </c>
      <c r="AF660" s="16" t="s">
        <v>2127</v>
      </c>
    </row>
    <row r="661" spans="1:32" s="15" customFormat="1" x14ac:dyDescent="0.25">
      <c r="A661" s="16">
        <v>661</v>
      </c>
      <c r="B661" s="16" t="s">
        <v>2128</v>
      </c>
      <c r="C661" s="17">
        <v>45677.77083333333</v>
      </c>
      <c r="D661" s="17">
        <v>45678.77083333333</v>
      </c>
      <c r="E661" s="16" t="s">
        <v>2129</v>
      </c>
      <c r="F661" s="16" t="s">
        <v>186</v>
      </c>
      <c r="G661" s="16" t="s">
        <v>109</v>
      </c>
      <c r="H661" s="16" t="s">
        <v>71</v>
      </c>
      <c r="I661" s="16" t="s">
        <v>201</v>
      </c>
      <c r="J661" s="16" t="s">
        <v>202</v>
      </c>
      <c r="K661" s="16" t="s">
        <v>93</v>
      </c>
      <c r="L661" s="16" t="s">
        <v>196</v>
      </c>
      <c r="M661" s="16" t="s">
        <v>2130</v>
      </c>
      <c r="N661" s="16" t="s">
        <v>42</v>
      </c>
      <c r="O661" s="16">
        <v>2</v>
      </c>
      <c r="P661" s="18">
        <v>444.31</v>
      </c>
      <c r="Q661" s="19">
        <v>0.2</v>
      </c>
      <c r="R661" s="19">
        <v>0.2</v>
      </c>
      <c r="S661" s="18">
        <v>710.9</v>
      </c>
      <c r="T661" s="18">
        <v>513.88</v>
      </c>
      <c r="U661" s="18">
        <v>197.02</v>
      </c>
      <c r="V661" s="16" t="s">
        <v>121</v>
      </c>
      <c r="W661" s="16" t="s">
        <v>85</v>
      </c>
      <c r="X661" s="18">
        <f>IF(OR(O661="",P661="",R661=""),"",O661*P661*(1-R661))</f>
        <v>710.9</v>
      </c>
      <c r="Y661" s="18">
        <f>IF(OR(X661="",T661=""),"",X661-T661)</f>
        <v>197.02</v>
      </c>
      <c r="Z661" s="19">
        <f>IFERROR(Y661/X661,"")</f>
        <v>0.2771</v>
      </c>
      <c r="AA661" s="16">
        <f>IF(OR(C661="",D661=""),"",D661-C661)</f>
        <v>1</v>
      </c>
      <c r="AB661" s="16">
        <f>IF(C661="","",MONTH(C661))</f>
        <v>1</v>
      </c>
      <c r="AC661" s="16">
        <f>IF(C661="","",YEAR(C661))</f>
        <v>2025</v>
      </c>
      <c r="AD661" s="16" t="s">
        <v>86</v>
      </c>
      <c r="AE661" s="16" t="s">
        <v>66</v>
      </c>
      <c r="AF661" s="16" t="s">
        <v>160</v>
      </c>
    </row>
    <row r="662" spans="1:32" x14ac:dyDescent="0.25">
      <c r="A662" s="1">
        <v>662</v>
      </c>
      <c r="B662" s="1" t="s">
        <v>2131</v>
      </c>
      <c r="C662" s="2">
        <v>45852.77083333333</v>
      </c>
      <c r="D662" s="2">
        <v>45852.77083333333</v>
      </c>
      <c r="E662" s="1" t="s">
        <v>2132</v>
      </c>
      <c r="F662" s="1" t="s">
        <v>70</v>
      </c>
      <c r="G662" s="1" t="s">
        <v>51</v>
      </c>
      <c r="H662" s="1" t="s">
        <v>52</v>
      </c>
      <c r="I662" s="1" t="s">
        <v>258</v>
      </c>
      <c r="J662" s="1" t="s">
        <v>259</v>
      </c>
      <c r="K662" s="1" t="s">
        <v>93</v>
      </c>
      <c r="L662" s="1" t="s">
        <v>196</v>
      </c>
      <c r="M662" s="1" t="s">
        <v>2133</v>
      </c>
      <c r="N662" s="1" t="s">
        <v>58</v>
      </c>
      <c r="O662" s="1">
        <v>4</v>
      </c>
      <c r="P662" s="3">
        <v>4442.91</v>
      </c>
      <c r="Q662" s="4">
        <v>0.1</v>
      </c>
      <c r="R662" s="4">
        <v>0.1</v>
      </c>
      <c r="S662" s="3">
        <v>15994.48</v>
      </c>
      <c r="T662" s="3">
        <v>9224.28</v>
      </c>
      <c r="U662" s="3">
        <v>6770.2</v>
      </c>
      <c r="V662" s="1" t="s">
        <v>43</v>
      </c>
      <c r="W662" s="1" t="s">
        <v>44</v>
      </c>
      <c r="X662" s="3">
        <f>IF(OR(O662="",P662="",R662=""),"",O662*P662*(1-R662))</f>
        <v>15994.48</v>
      </c>
      <c r="Y662" s="3">
        <f>IF(OR(X662="",T662=""),"",X662-T662)</f>
        <v>6770.2</v>
      </c>
      <c r="Z662" s="4">
        <f>IFERROR(Y662/X662,"")</f>
        <v>0.4233</v>
      </c>
      <c r="AA662" s="1">
        <f>IF(OR(C662="",D662=""),"",D662-C662)</f>
        <v>0</v>
      </c>
      <c r="AB662" s="1">
        <f>IF(C662="","",MONTH(C662))</f>
        <v>7</v>
      </c>
      <c r="AC662" s="1">
        <f>IF(C662="","",YEAR(C662))</f>
        <v>2025</v>
      </c>
      <c r="AD662" s="1" t="s">
        <v>45</v>
      </c>
      <c r="AE662" s="1" t="s">
        <v>46</v>
      </c>
      <c r="AF662" s="1" t="s">
        <v>47</v>
      </c>
    </row>
    <row r="663" spans="1:32" x14ac:dyDescent="0.25">
      <c r="A663" s="1">
        <v>663</v>
      </c>
      <c r="B663" s="1" t="s">
        <v>2134</v>
      </c>
      <c r="C663" s="2">
        <v>45428.77083333333</v>
      </c>
      <c r="D663" s="2">
        <v>45433.77083333333</v>
      </c>
      <c r="E663" s="1" t="s">
        <v>2135</v>
      </c>
      <c r="F663" s="1" t="s">
        <v>153</v>
      </c>
      <c r="G663" s="1" t="s">
        <v>35</v>
      </c>
      <c r="H663" s="1" t="s">
        <v>71</v>
      </c>
      <c r="I663" s="1" t="s">
        <v>103</v>
      </c>
      <c r="J663" s="1" t="s">
        <v>104</v>
      </c>
      <c r="K663" s="1" t="s">
        <v>93</v>
      </c>
      <c r="L663" s="1" t="s">
        <v>305</v>
      </c>
      <c r="M663" s="1" t="s">
        <v>2136</v>
      </c>
      <c r="N663" s="1" t="s">
        <v>42</v>
      </c>
      <c r="O663" s="1">
        <v>7</v>
      </c>
      <c r="P663" s="3">
        <v>232.5</v>
      </c>
      <c r="Q663" s="4">
        <v>0</v>
      </c>
      <c r="R663" s="4">
        <v>0</v>
      </c>
      <c r="S663" s="3">
        <v>1627.5</v>
      </c>
      <c r="T663" s="3">
        <v>939.9</v>
      </c>
      <c r="U663" s="3">
        <v>687.6</v>
      </c>
      <c r="V663" s="1" t="s">
        <v>43</v>
      </c>
      <c r="W663" s="1" t="s">
        <v>44</v>
      </c>
      <c r="X663" s="3">
        <f>IF(OR(O663="",P663="",R663=""),"",O663*P663*(1-R663))</f>
        <v>1627.5</v>
      </c>
      <c r="Y663" s="3">
        <f>IF(OR(X663="",T663=""),"",X663-T663)</f>
        <v>687.6</v>
      </c>
      <c r="Z663" s="4">
        <f>IFERROR(Y663/X663,"")</f>
        <v>0.4225</v>
      </c>
      <c r="AA663" s="1">
        <f>IF(OR(C663="",D663=""),"",D663-C663)</f>
        <v>5</v>
      </c>
      <c r="AB663" s="1">
        <f>IF(C663="","",MONTH(C663))</f>
        <v>5</v>
      </c>
      <c r="AC663" s="1">
        <f>IF(C663="","",YEAR(C663))</f>
        <v>2024</v>
      </c>
      <c r="AD663" s="1" t="s">
        <v>45</v>
      </c>
      <c r="AE663" s="1" t="s">
        <v>46</v>
      </c>
      <c r="AF663" s="1" t="s">
        <v>47</v>
      </c>
    </row>
    <row r="664" spans="1:32" x14ac:dyDescent="0.25">
      <c r="A664" s="1">
        <v>664</v>
      </c>
      <c r="B664" s="1" t="s">
        <v>2137</v>
      </c>
      <c r="C664" s="2">
        <v>45304.77083333333</v>
      </c>
      <c r="D664" s="2">
        <v>45308.77083333333</v>
      </c>
      <c r="E664" s="1" t="s">
        <v>2138</v>
      </c>
      <c r="F664" s="1" t="s">
        <v>50</v>
      </c>
      <c r="G664" s="1" t="s">
        <v>114</v>
      </c>
      <c r="H664" s="1" t="s">
        <v>80</v>
      </c>
      <c r="I664" s="1" t="s">
        <v>37</v>
      </c>
      <c r="J664" s="1" t="s">
        <v>129</v>
      </c>
      <c r="K664" s="1" t="s">
        <v>93</v>
      </c>
      <c r="L664" s="1" t="s">
        <v>305</v>
      </c>
      <c r="M664" s="1" t="s">
        <v>2139</v>
      </c>
      <c r="N664" s="1" t="s">
        <v>58</v>
      </c>
      <c r="O664" s="1">
        <v>6</v>
      </c>
      <c r="P664" s="3">
        <v>1784.8</v>
      </c>
      <c r="Q664" s="4">
        <v>0.1</v>
      </c>
      <c r="R664" s="4">
        <v>0.1</v>
      </c>
      <c r="S664" s="3">
        <v>9637.92</v>
      </c>
      <c r="T664" s="3">
        <v>7329.29</v>
      </c>
      <c r="U664" s="3">
        <v>2308.63</v>
      </c>
      <c r="V664" s="1" t="s">
        <v>43</v>
      </c>
      <c r="W664" s="1" t="s">
        <v>44</v>
      </c>
      <c r="X664" s="3">
        <f>IF(OR(O664="",P664="",R664=""),"",O664*P664*(1-R664))</f>
        <v>9637.92</v>
      </c>
      <c r="Y664" s="3">
        <f>IF(OR(X664="",T664=""),"",X664-T664)</f>
        <v>2308.63</v>
      </c>
      <c r="Z664" s="4">
        <f>IFERROR(Y664/X664,"")</f>
        <v>0.2395</v>
      </c>
      <c r="AA664" s="1">
        <f>IF(OR(C664="",D664=""),"",D664-C664)</f>
        <v>4</v>
      </c>
      <c r="AB664" s="1">
        <f>IF(C664="","",MONTH(C664))</f>
        <v>1</v>
      </c>
      <c r="AC664" s="1">
        <f>IF(C664="","",YEAR(C664))</f>
        <v>2024</v>
      </c>
      <c r="AD664" s="1" t="s">
        <v>45</v>
      </c>
      <c r="AE664" s="1" t="s">
        <v>46</v>
      </c>
      <c r="AF664" s="1" t="s">
        <v>47</v>
      </c>
    </row>
    <row r="665" spans="1:32" s="10" customFormat="1" x14ac:dyDescent="0.25">
      <c r="A665" s="11">
        <v>665</v>
      </c>
      <c r="B665" s="11" t="s">
        <v>2140</v>
      </c>
      <c r="C665" s="12">
        <v>45413.77083333333</v>
      </c>
      <c r="D665" s="12">
        <v>45419.77083333333</v>
      </c>
      <c r="E665" s="11" t="s">
        <v>2141</v>
      </c>
      <c r="F665" s="11" t="s">
        <v>139</v>
      </c>
      <c r="G665" s="11" t="s">
        <v>114</v>
      </c>
      <c r="H665" s="11" t="s">
        <v>52</v>
      </c>
      <c r="I665" s="11" t="s">
        <v>258</v>
      </c>
      <c r="J665" s="11" t="s">
        <v>259</v>
      </c>
      <c r="K665" s="11" t="s">
        <v>93</v>
      </c>
      <c r="L665" s="11" t="s">
        <v>99</v>
      </c>
      <c r="M665" s="11" t="s">
        <v>2142</v>
      </c>
      <c r="N665" s="11" t="s">
        <v>42</v>
      </c>
      <c r="O665" s="11">
        <v>2</v>
      </c>
      <c r="P665" s="13">
        <v>3185.01</v>
      </c>
      <c r="Q665" s="14">
        <v>-0.24</v>
      </c>
      <c r="R665" s="14">
        <v>-0.24</v>
      </c>
      <c r="S665" s="13">
        <v>4777.52</v>
      </c>
      <c r="T665" s="13">
        <v>3152.98</v>
      </c>
      <c r="U665" s="13">
        <v>1624.54</v>
      </c>
      <c r="V665" s="11" t="s">
        <v>43</v>
      </c>
      <c r="W665" s="11" t="s">
        <v>44</v>
      </c>
      <c r="X665" s="13">
        <f>IF(OR(O665="",P665="",R665=""),"",O665*P665*(1-R665))</f>
        <v>7898.82</v>
      </c>
      <c r="Y665" s="13">
        <f>IF(OR(X665="",T665=""),"",X665-T665)</f>
        <v>4745.84</v>
      </c>
      <c r="Z665" s="14">
        <f>IFERROR(Y665/X665,"")</f>
        <v>0.6008</v>
      </c>
      <c r="AA665" s="11">
        <f>IF(OR(C665="",D665=""),"",D665-C665)</f>
        <v>6</v>
      </c>
      <c r="AB665" s="11">
        <f>IF(C665="","",MONTH(C665))</f>
        <v>5</v>
      </c>
      <c r="AC665" s="11">
        <f>IF(C665="","",YEAR(C665))</f>
        <v>2024</v>
      </c>
      <c r="AD665" s="11" t="s">
        <v>65</v>
      </c>
      <c r="AE665" s="11" t="s">
        <v>66</v>
      </c>
      <c r="AF665" s="11" t="s">
        <v>165</v>
      </c>
    </row>
    <row r="666" spans="1:32" x14ac:dyDescent="0.25">
      <c r="A666" s="1">
        <v>666</v>
      </c>
      <c r="B666" s="1" t="s">
        <v>2143</v>
      </c>
      <c r="C666" s="2">
        <v>45632.77083333333</v>
      </c>
      <c r="D666" s="2">
        <v>45635.77083333333</v>
      </c>
      <c r="E666" s="1" t="s">
        <v>2144</v>
      </c>
      <c r="F666" s="1" t="s">
        <v>50</v>
      </c>
      <c r="G666" s="1" t="s">
        <v>114</v>
      </c>
      <c r="H666" s="1" t="s">
        <v>71</v>
      </c>
      <c r="I666" s="1" t="s">
        <v>72</v>
      </c>
      <c r="J666" s="1" t="s">
        <v>73</v>
      </c>
      <c r="K666" s="1" t="s">
        <v>93</v>
      </c>
      <c r="L666" s="1" t="s">
        <v>94</v>
      </c>
      <c r="M666" s="1" t="s">
        <v>2145</v>
      </c>
      <c r="N666" s="1" t="s">
        <v>76</v>
      </c>
      <c r="O666" s="1">
        <v>1</v>
      </c>
      <c r="P666" s="3">
        <v>1908.83</v>
      </c>
      <c r="Q666" s="4">
        <v>0.2</v>
      </c>
      <c r="R666" s="4">
        <v>0.2</v>
      </c>
      <c r="S666" s="3">
        <v>1527.06</v>
      </c>
      <c r="T666" s="3">
        <v>1055.89</v>
      </c>
      <c r="U666" s="3">
        <v>471.17</v>
      </c>
      <c r="V666" s="1" t="s">
        <v>43</v>
      </c>
      <c r="W666" s="1" t="s">
        <v>44</v>
      </c>
      <c r="X666" s="3">
        <f>IF(OR(O666="",P666="",R666=""),"",O666*P666*(1-R666))</f>
        <v>1527.06</v>
      </c>
      <c r="Y666" s="3">
        <f>IF(OR(X666="",T666=""),"",X666-T666)</f>
        <v>471.17</v>
      </c>
      <c r="Z666" s="4">
        <f>IFERROR(Y666/X666,"")</f>
        <v>0.3085</v>
      </c>
      <c r="AA666" s="1">
        <f>IF(OR(C666="",D666=""),"",D666-C666)</f>
        <v>3</v>
      </c>
      <c r="AB666" s="1">
        <f>IF(C666="","",MONTH(C666))</f>
        <v>12</v>
      </c>
      <c r="AC666" s="1">
        <f>IF(C666="","",YEAR(C666))</f>
        <v>2024</v>
      </c>
      <c r="AD666" s="1" t="s">
        <v>45</v>
      </c>
      <c r="AE666" s="1" t="s">
        <v>46</v>
      </c>
      <c r="AF666" s="1" t="s">
        <v>47</v>
      </c>
    </row>
    <row r="667" spans="1:32" s="15" customFormat="1" x14ac:dyDescent="0.25">
      <c r="A667" s="16">
        <v>667</v>
      </c>
      <c r="B667" s="16" t="s">
        <v>2146</v>
      </c>
      <c r="C667" s="17">
        <v>45669.77083333333</v>
      </c>
      <c r="D667" s="17">
        <v>45669.77083333333</v>
      </c>
      <c r="E667" s="16" t="s">
        <v>2147</v>
      </c>
      <c r="F667" s="16" t="s">
        <v>139</v>
      </c>
      <c r="G667" s="16" t="s">
        <v>114</v>
      </c>
      <c r="H667" s="16" t="s">
        <v>80</v>
      </c>
      <c r="I667" s="16" t="s">
        <v>206</v>
      </c>
      <c r="J667" s="16" t="s">
        <v>207</v>
      </c>
      <c r="K667" s="16" t="s">
        <v>39</v>
      </c>
      <c r="L667" s="16" t="s">
        <v>62</v>
      </c>
      <c r="M667" s="16" t="s">
        <v>2148</v>
      </c>
      <c r="N667" s="16" t="s">
        <v>76</v>
      </c>
      <c r="O667" s="16">
        <v>3</v>
      </c>
      <c r="P667" s="18">
        <v>2110.52</v>
      </c>
      <c r="Q667" s="19">
        <v>0.1</v>
      </c>
      <c r="R667" s="19">
        <v>0.1</v>
      </c>
      <c r="S667" s="18">
        <v>5698.4</v>
      </c>
      <c r="T667" s="18">
        <v>3640.89</v>
      </c>
      <c r="U667" s="18">
        <v>2057.51</v>
      </c>
      <c r="V667" s="16" t="s">
        <v>178</v>
      </c>
      <c r="W667" s="16" t="s">
        <v>85</v>
      </c>
      <c r="X667" s="18">
        <f>IF(OR(O667="",P667="",R667=""),"",O667*P667*(1-R667))</f>
        <v>5698.4</v>
      </c>
      <c r="Y667" s="18">
        <f>IF(OR(X667="",T667=""),"",X667-T667)</f>
        <v>2057.51</v>
      </c>
      <c r="Z667" s="19">
        <f>IFERROR(Y667/X667,"")</f>
        <v>0.3611</v>
      </c>
      <c r="AA667" s="16">
        <f>IF(OR(C667="",D667=""),"",D667-C667)</f>
        <v>0</v>
      </c>
      <c r="AB667" s="16">
        <f>IF(C667="","",MONTH(C667))</f>
        <v>1</v>
      </c>
      <c r="AC667" s="16">
        <f>IF(C667="","",YEAR(C667))</f>
        <v>2025</v>
      </c>
      <c r="AD667" s="16" t="s">
        <v>86</v>
      </c>
      <c r="AE667" s="16" t="s">
        <v>66</v>
      </c>
      <c r="AF667" s="16" t="s">
        <v>296</v>
      </c>
    </row>
    <row r="668" spans="1:32" x14ac:dyDescent="0.25">
      <c r="A668" s="1">
        <v>668</v>
      </c>
      <c r="B668" s="1" t="s">
        <v>2149</v>
      </c>
      <c r="C668" s="2">
        <v>45463.77083333333</v>
      </c>
      <c r="D668" s="2">
        <v>45468.77083333333</v>
      </c>
      <c r="E668" s="1" t="s">
        <v>2150</v>
      </c>
      <c r="F668" s="1" t="s">
        <v>163</v>
      </c>
      <c r="G668" s="1" t="s">
        <v>51</v>
      </c>
      <c r="H668" s="1" t="s">
        <v>36</v>
      </c>
      <c r="I668" s="1" t="s">
        <v>143</v>
      </c>
      <c r="J668" s="1" t="s">
        <v>144</v>
      </c>
      <c r="K668" s="1" t="s">
        <v>93</v>
      </c>
      <c r="L668" s="1" t="s">
        <v>99</v>
      </c>
      <c r="M668" s="1" t="s">
        <v>2151</v>
      </c>
      <c r="N668" s="1" t="s">
        <v>58</v>
      </c>
      <c r="O668" s="1">
        <v>1</v>
      </c>
      <c r="P668" s="3">
        <v>279.83</v>
      </c>
      <c r="Q668" s="4">
        <v>0.05</v>
      </c>
      <c r="R668" s="4">
        <v>0.05</v>
      </c>
      <c r="S668" s="3">
        <v>265.84</v>
      </c>
      <c r="T668" s="3">
        <v>223.49</v>
      </c>
      <c r="U668" s="3">
        <v>42.35</v>
      </c>
      <c r="V668" s="1" t="s">
        <v>43</v>
      </c>
      <c r="W668" s="1" t="s">
        <v>44</v>
      </c>
      <c r="X668" s="3">
        <f>IF(OR(O668="",P668="",R668=""),"",O668*P668*(1-R668))</f>
        <v>265.84</v>
      </c>
      <c r="Y668" s="3">
        <f>IF(OR(X668="",T668=""),"",X668-T668)</f>
        <v>42.35</v>
      </c>
      <c r="Z668" s="4">
        <f>IFERROR(Y668/X668,"")</f>
        <v>0.1593</v>
      </c>
      <c r="AA668" s="1">
        <f>IF(OR(C668="",D668=""),"",D668-C668)</f>
        <v>5</v>
      </c>
      <c r="AB668" s="1">
        <f>IF(C668="","",MONTH(C668))</f>
        <v>6</v>
      </c>
      <c r="AC668" s="1">
        <f>IF(C668="","",YEAR(C668))</f>
        <v>2024</v>
      </c>
      <c r="AD668" s="1" t="s">
        <v>45</v>
      </c>
      <c r="AE668" s="1" t="s">
        <v>46</v>
      </c>
      <c r="AF668" s="1" t="s">
        <v>47</v>
      </c>
    </row>
    <row r="669" spans="1:32" s="15" customFormat="1" x14ac:dyDescent="0.25">
      <c r="A669" s="16">
        <v>669</v>
      </c>
      <c r="B669" s="16" t="s">
        <v>2152</v>
      </c>
      <c r="C669" s="17">
        <v>45796.77083333333</v>
      </c>
      <c r="D669" s="17">
        <v>45803.77083333333</v>
      </c>
      <c r="E669" s="16" t="s">
        <v>2153</v>
      </c>
      <c r="F669" s="16" t="s">
        <v>186</v>
      </c>
      <c r="G669" s="16" t="s">
        <v>51</v>
      </c>
      <c r="H669" s="16" t="s">
        <v>52</v>
      </c>
      <c r="I669" s="16" t="s">
        <v>168</v>
      </c>
      <c r="J669" s="16" t="s">
        <v>169</v>
      </c>
      <c r="K669" s="16" t="s">
        <v>93</v>
      </c>
      <c r="L669" s="16" t="s">
        <v>305</v>
      </c>
      <c r="M669" s="16" t="s">
        <v>2154</v>
      </c>
      <c r="N669" s="16" t="s">
        <v>76</v>
      </c>
      <c r="O669" s="16">
        <v>1</v>
      </c>
      <c r="P669" s="18">
        <v>3959.14</v>
      </c>
      <c r="Q669" s="19">
        <v>0</v>
      </c>
      <c r="R669" s="19">
        <v>0</v>
      </c>
      <c r="S669" s="18">
        <v>3959.14</v>
      </c>
      <c r="T669" s="18">
        <v>3239.53</v>
      </c>
      <c r="U669" s="18">
        <v>719.61</v>
      </c>
      <c r="V669" s="16" t="s">
        <v>131</v>
      </c>
      <c r="W669" s="16" t="s">
        <v>122</v>
      </c>
      <c r="X669" s="18">
        <f>IF(OR(O669="",P669="",R669=""),"",O669*P669*(1-R669))</f>
        <v>3959.14</v>
      </c>
      <c r="Y669" s="18">
        <f>IF(OR(X669="",T669=""),"",X669-T669)</f>
        <v>719.61</v>
      </c>
      <c r="Z669" s="19">
        <f>IFERROR(Y669/X669,"")</f>
        <v>0.1818</v>
      </c>
      <c r="AA669" s="16">
        <f>IF(OR(C669="",D669=""),"",D669-C669)</f>
        <v>7</v>
      </c>
      <c r="AB669" s="16">
        <f>IF(C669="","",MONTH(C669))</f>
        <v>5</v>
      </c>
      <c r="AC669" s="16">
        <f>IF(C669="","",YEAR(C669))</f>
        <v>2025</v>
      </c>
      <c r="AD669" s="16" t="s">
        <v>86</v>
      </c>
      <c r="AE669" s="16" t="s">
        <v>66</v>
      </c>
      <c r="AF669" s="16" t="s">
        <v>132</v>
      </c>
    </row>
    <row r="670" spans="1:32" x14ac:dyDescent="0.25">
      <c r="A670" s="1">
        <v>670</v>
      </c>
      <c r="B670" s="1" t="s">
        <v>2155</v>
      </c>
      <c r="C670" s="2">
        <v>45616.77083333333</v>
      </c>
      <c r="D670" s="2">
        <v>45618.77083333333</v>
      </c>
      <c r="E670" s="1" t="s">
        <v>2156</v>
      </c>
      <c r="F670" s="1" t="s">
        <v>50</v>
      </c>
      <c r="G670" s="1" t="s">
        <v>109</v>
      </c>
      <c r="H670" s="1" t="s">
        <v>80</v>
      </c>
      <c r="I670" s="1" t="s">
        <v>206</v>
      </c>
      <c r="J670" s="1" t="s">
        <v>207</v>
      </c>
      <c r="K670" s="1" t="s">
        <v>39</v>
      </c>
      <c r="L670" s="1" t="s">
        <v>40</v>
      </c>
      <c r="M670" s="1" t="s">
        <v>2157</v>
      </c>
      <c r="N670" s="1" t="s">
        <v>42</v>
      </c>
      <c r="O670" s="1">
        <v>5</v>
      </c>
      <c r="P670" s="3">
        <v>600.46</v>
      </c>
      <c r="Q670" s="4">
        <v>0.2</v>
      </c>
      <c r="R670" s="4">
        <v>0.2</v>
      </c>
      <c r="S670" s="3">
        <v>2401.84</v>
      </c>
      <c r="T670" s="3">
        <v>1873.11</v>
      </c>
      <c r="U670" s="3">
        <v>528.73</v>
      </c>
      <c r="V670" s="1" t="s">
        <v>43</v>
      </c>
      <c r="W670" s="1" t="s">
        <v>44</v>
      </c>
      <c r="X670" s="3">
        <f>IF(OR(O670="",P670="",R670=""),"",O670*P670*(1-R670))</f>
        <v>2401.84</v>
      </c>
      <c r="Y670" s="3">
        <f>IF(OR(X670="",T670=""),"",X670-T670)</f>
        <v>528.73</v>
      </c>
      <c r="Z670" s="4">
        <f>IFERROR(Y670/X670,"")</f>
        <v>0.2201</v>
      </c>
      <c r="AA670" s="1">
        <f>IF(OR(C670="",D670=""),"",D670-C670)</f>
        <v>2</v>
      </c>
      <c r="AB670" s="1">
        <f>IF(C670="","",MONTH(C670))</f>
        <v>11</v>
      </c>
      <c r="AC670" s="1">
        <f>IF(C670="","",YEAR(C670))</f>
        <v>2024</v>
      </c>
      <c r="AD670" s="1" t="s">
        <v>45</v>
      </c>
      <c r="AE670" s="1" t="s">
        <v>46</v>
      </c>
      <c r="AF670" s="1" t="s">
        <v>47</v>
      </c>
    </row>
    <row r="671" spans="1:32" x14ac:dyDescent="0.25">
      <c r="A671" s="1">
        <v>671</v>
      </c>
      <c r="B671" s="1" t="s">
        <v>2158</v>
      </c>
      <c r="C671" s="2">
        <v>45374.77083333333</v>
      </c>
      <c r="D671" s="2">
        <v>45382.77083333333</v>
      </c>
      <c r="E671" s="1" t="s">
        <v>2159</v>
      </c>
      <c r="F671" s="1" t="s">
        <v>79</v>
      </c>
      <c r="G671" s="1" t="s">
        <v>114</v>
      </c>
      <c r="H671" s="1" t="s">
        <v>80</v>
      </c>
      <c r="I671" s="1" t="s">
        <v>81</v>
      </c>
      <c r="J671" s="1" t="s">
        <v>82</v>
      </c>
      <c r="K671" s="1" t="s">
        <v>55</v>
      </c>
      <c r="L671" s="1" t="s">
        <v>56</v>
      </c>
      <c r="M671" s="1" t="s">
        <v>2160</v>
      </c>
      <c r="N671" s="1" t="s">
        <v>42</v>
      </c>
      <c r="O671" s="1">
        <v>4</v>
      </c>
      <c r="P671" s="3">
        <v>1700.72</v>
      </c>
      <c r="Q671" s="4">
        <v>0.25</v>
      </c>
      <c r="R671" s="4">
        <v>0.25</v>
      </c>
      <c r="S671" s="3">
        <v>5102.16</v>
      </c>
      <c r="T671" s="3">
        <v>3226.45</v>
      </c>
      <c r="U671" s="3">
        <v>1875.71</v>
      </c>
      <c r="V671" s="1" t="s">
        <v>43</v>
      </c>
      <c r="W671" s="1" t="s">
        <v>44</v>
      </c>
      <c r="X671" s="3">
        <f>IF(OR(O671="",P671="",R671=""),"",O671*P671*(1-R671))</f>
        <v>5102.16</v>
      </c>
      <c r="Y671" s="3">
        <f>IF(OR(X671="",T671=""),"",X671-T671)</f>
        <v>1875.71</v>
      </c>
      <c r="Z671" s="4">
        <f>IFERROR(Y671/X671,"")</f>
        <v>0.3676</v>
      </c>
      <c r="AA671" s="1">
        <f>IF(OR(C671="",D671=""),"",D671-C671)</f>
        <v>8</v>
      </c>
      <c r="AB671" s="1">
        <f>IF(C671="","",MONTH(C671))</f>
        <v>3</v>
      </c>
      <c r="AC671" s="1">
        <f>IF(C671="","",YEAR(C671))</f>
        <v>2024</v>
      </c>
      <c r="AD671" s="1" t="s">
        <v>45</v>
      </c>
      <c r="AE671" s="1" t="s">
        <v>46</v>
      </c>
      <c r="AF671" s="1" t="s">
        <v>47</v>
      </c>
    </row>
    <row r="672" spans="1:32" x14ac:dyDescent="0.25">
      <c r="A672" s="1">
        <v>672</v>
      </c>
      <c r="B672" s="1" t="s">
        <v>2161</v>
      </c>
      <c r="C672" s="2">
        <v>45689.77083333333</v>
      </c>
      <c r="D672" s="2">
        <v>45693.77083333333</v>
      </c>
      <c r="E672" s="1" t="s">
        <v>1659</v>
      </c>
      <c r="F672" s="1" t="s">
        <v>153</v>
      </c>
      <c r="G672" s="1" t="s">
        <v>109</v>
      </c>
      <c r="H672" s="1" t="s">
        <v>36</v>
      </c>
      <c r="I672" s="1" t="s">
        <v>157</v>
      </c>
      <c r="J672" s="1" t="s">
        <v>158</v>
      </c>
      <c r="K672" s="1" t="s">
        <v>55</v>
      </c>
      <c r="L672" s="1" t="s">
        <v>56</v>
      </c>
      <c r="M672" s="1" t="s">
        <v>2162</v>
      </c>
      <c r="N672" s="1" t="s">
        <v>76</v>
      </c>
      <c r="O672" s="1">
        <v>8</v>
      </c>
      <c r="P672" s="3">
        <v>857.86</v>
      </c>
      <c r="Q672" s="4">
        <v>0.1</v>
      </c>
      <c r="R672" s="4">
        <v>0.1</v>
      </c>
      <c r="S672" s="3">
        <v>6176.59</v>
      </c>
      <c r="T672" s="3">
        <v>3560.96</v>
      </c>
      <c r="U672" s="3">
        <v>2615.63</v>
      </c>
      <c r="V672" s="1" t="s">
        <v>43</v>
      </c>
      <c r="W672" s="1" t="s">
        <v>44</v>
      </c>
      <c r="X672" s="3">
        <f>IF(OR(O672="",P672="",R672=""),"",O672*P672*(1-R672))</f>
        <v>6176.59</v>
      </c>
      <c r="Y672" s="3">
        <f>IF(OR(X672="",T672=""),"",X672-T672)</f>
        <v>2615.63</v>
      </c>
      <c r="Z672" s="4">
        <f>IFERROR(Y672/X672,"")</f>
        <v>0.4235</v>
      </c>
      <c r="AA672" s="1">
        <f>IF(OR(C672="",D672=""),"",D672-C672)</f>
        <v>4</v>
      </c>
      <c r="AB672" s="1">
        <f>IF(C672="","",MONTH(C672))</f>
        <v>2</v>
      </c>
      <c r="AC672" s="1">
        <f>IF(C672="","",YEAR(C672))</f>
        <v>2025</v>
      </c>
      <c r="AD672" s="1" t="s">
        <v>45</v>
      </c>
      <c r="AE672" s="1" t="s">
        <v>46</v>
      </c>
      <c r="AF672" s="1" t="s">
        <v>47</v>
      </c>
    </row>
    <row r="673" spans="1:32" x14ac:dyDescent="0.25">
      <c r="A673" s="1">
        <v>673</v>
      </c>
      <c r="B673" s="1" t="s">
        <v>2163</v>
      </c>
      <c r="C673" s="2">
        <v>45372.77083333333</v>
      </c>
      <c r="D673" s="2">
        <v>45377.77083333333</v>
      </c>
      <c r="E673" s="1" t="s">
        <v>2164</v>
      </c>
      <c r="F673" s="1" t="s">
        <v>108</v>
      </c>
      <c r="G673" s="1" t="s">
        <v>114</v>
      </c>
      <c r="H673" s="1" t="s">
        <v>80</v>
      </c>
      <c r="I673" s="1" t="s">
        <v>216</v>
      </c>
      <c r="J673" s="1" t="s">
        <v>217</v>
      </c>
      <c r="K673" s="1" t="s">
        <v>93</v>
      </c>
      <c r="L673" s="1" t="s">
        <v>99</v>
      </c>
      <c r="M673" s="1" t="s">
        <v>2165</v>
      </c>
      <c r="N673" s="1" t="s">
        <v>42</v>
      </c>
      <c r="O673" s="1">
        <v>9</v>
      </c>
      <c r="P673" s="3">
        <v>3649.51</v>
      </c>
      <c r="Q673" s="4">
        <v>0.05</v>
      </c>
      <c r="R673" s="4">
        <v>0.05</v>
      </c>
      <c r="S673" s="3">
        <v>31203.31</v>
      </c>
      <c r="T673" s="3">
        <v>17738.13</v>
      </c>
      <c r="U673" s="3">
        <v>13465.18</v>
      </c>
      <c r="V673" s="1" t="s">
        <v>43</v>
      </c>
      <c r="W673" s="1" t="s">
        <v>44</v>
      </c>
      <c r="X673" s="3">
        <f>IF(OR(O673="",P673="",R673=""),"",O673*P673*(1-R673))</f>
        <v>31203.31</v>
      </c>
      <c r="Y673" s="3">
        <f>IF(OR(X673="",T673=""),"",X673-T673)</f>
        <v>13465.18</v>
      </c>
      <c r="Z673" s="4">
        <f>IFERROR(Y673/X673,"")</f>
        <v>0.4315</v>
      </c>
      <c r="AA673" s="1">
        <f>IF(OR(C673="",D673=""),"",D673-C673)</f>
        <v>5</v>
      </c>
      <c r="AB673" s="1">
        <f>IF(C673="","",MONTH(C673))</f>
        <v>3</v>
      </c>
      <c r="AC673" s="1">
        <f>IF(C673="","",YEAR(C673))</f>
        <v>2024</v>
      </c>
      <c r="AD673" s="1" t="s">
        <v>45</v>
      </c>
      <c r="AE673" s="1" t="s">
        <v>46</v>
      </c>
      <c r="AF673" s="1" t="s">
        <v>47</v>
      </c>
    </row>
    <row r="674" spans="1:32" s="15" customFormat="1" x14ac:dyDescent="0.25">
      <c r="A674" s="16">
        <v>674</v>
      </c>
      <c r="B674" s="16" t="s">
        <v>2166</v>
      </c>
      <c r="C674" s="17">
        <v>45538.77083333333</v>
      </c>
      <c r="D674" s="17">
        <v>45539.77083333333</v>
      </c>
      <c r="E674" s="16" t="s">
        <v>2167</v>
      </c>
      <c r="F674" s="16" t="s">
        <v>108</v>
      </c>
      <c r="G674" s="16" t="s">
        <v>109</v>
      </c>
      <c r="H674" s="16" t="s">
        <v>80</v>
      </c>
      <c r="I674" s="16" t="s">
        <v>91</v>
      </c>
      <c r="J674" s="16" t="s">
        <v>92</v>
      </c>
      <c r="K674" s="16" t="s">
        <v>55</v>
      </c>
      <c r="L674" s="16" t="s">
        <v>83</v>
      </c>
      <c r="M674" s="16" t="s">
        <v>2168</v>
      </c>
      <c r="N674" s="16" t="s">
        <v>76</v>
      </c>
      <c r="O674" s="16">
        <v>5</v>
      </c>
      <c r="P674" s="18">
        <v>2528.53</v>
      </c>
      <c r="Q674" s="19">
        <v>0.05</v>
      </c>
      <c r="R674" s="19">
        <v>0.05</v>
      </c>
      <c r="S674" s="18">
        <v>12010.52</v>
      </c>
      <c r="T674" s="18">
        <v>7864.61</v>
      </c>
      <c r="U674" s="18">
        <v>4145.91</v>
      </c>
      <c r="V674" s="16" t="s">
        <v>43</v>
      </c>
      <c r="W674" s="16" t="s">
        <v>122</v>
      </c>
      <c r="X674" s="18">
        <f>IF(OR(O674="",P674="",R674=""),"",O674*P674*(1-R674))</f>
        <v>12010.52</v>
      </c>
      <c r="Y674" s="18">
        <f>IF(OR(X674="",T674=""),"",X674-T674)</f>
        <v>4145.91</v>
      </c>
      <c r="Z674" s="19">
        <f>IFERROR(Y674/X674,"")</f>
        <v>0.3452</v>
      </c>
      <c r="AA674" s="16">
        <f>IF(OR(C674="",D674=""),"",D674-C674)</f>
        <v>1</v>
      </c>
      <c r="AB674" s="16">
        <f>IF(C674="","",MONTH(C674))</f>
        <v>9</v>
      </c>
      <c r="AC674" s="16">
        <f>IF(C674="","",YEAR(C674))</f>
        <v>2024</v>
      </c>
      <c r="AD674" s="16" t="s">
        <v>86</v>
      </c>
      <c r="AE674" s="16" t="s">
        <v>66</v>
      </c>
      <c r="AF674" s="16" t="s">
        <v>198</v>
      </c>
    </row>
    <row r="675" spans="1:32" x14ac:dyDescent="0.25">
      <c r="A675" s="1">
        <v>675</v>
      </c>
      <c r="B675" s="1" t="s">
        <v>2169</v>
      </c>
      <c r="C675" s="2">
        <v>45700.77083333333</v>
      </c>
      <c r="D675" s="2">
        <v>45703.77083333333</v>
      </c>
      <c r="E675" s="1" t="s">
        <v>2170</v>
      </c>
      <c r="F675" s="1" t="s">
        <v>70</v>
      </c>
      <c r="G675" s="1" t="s">
        <v>51</v>
      </c>
      <c r="H675" s="1" t="s">
        <v>80</v>
      </c>
      <c r="I675" s="1" t="s">
        <v>37</v>
      </c>
      <c r="J675" s="1" t="s">
        <v>129</v>
      </c>
      <c r="K675" s="1" t="s">
        <v>55</v>
      </c>
      <c r="L675" s="1" t="s">
        <v>182</v>
      </c>
      <c r="M675" s="1" t="s">
        <v>2171</v>
      </c>
      <c r="N675" s="1" t="s">
        <v>42</v>
      </c>
      <c r="O675" s="1">
        <v>4</v>
      </c>
      <c r="P675" s="3">
        <v>4072.9</v>
      </c>
      <c r="Q675" s="4">
        <v>0.15</v>
      </c>
      <c r="R675" s="4">
        <v>0.15</v>
      </c>
      <c r="S675" s="3">
        <v>13847.86</v>
      </c>
      <c r="T675" s="3">
        <v>8471.78</v>
      </c>
      <c r="U675" s="3">
        <v>5376.08</v>
      </c>
      <c r="V675" s="1" t="s">
        <v>43</v>
      </c>
      <c r="W675" s="1" t="s">
        <v>44</v>
      </c>
      <c r="X675" s="3">
        <f>IF(OR(O675="",P675="",R675=""),"",O675*P675*(1-R675))</f>
        <v>13847.86</v>
      </c>
      <c r="Y675" s="3">
        <f>IF(OR(X675="",T675=""),"",X675-T675)</f>
        <v>5376.08</v>
      </c>
      <c r="Z675" s="4">
        <f>IFERROR(Y675/X675,"")</f>
        <v>0.3882</v>
      </c>
      <c r="AA675" s="1">
        <f>IF(OR(C675="",D675=""),"",D675-C675)</f>
        <v>3</v>
      </c>
      <c r="AB675" s="1">
        <f>IF(C675="","",MONTH(C675))</f>
        <v>2</v>
      </c>
      <c r="AC675" s="1">
        <f>IF(C675="","",YEAR(C675))</f>
        <v>2025</v>
      </c>
      <c r="AD675" s="1" t="s">
        <v>45</v>
      </c>
      <c r="AE675" s="1" t="s">
        <v>46</v>
      </c>
      <c r="AF675" s="1" t="s">
        <v>47</v>
      </c>
    </row>
    <row r="676" spans="1:32" s="15" customFormat="1" x14ac:dyDescent="0.25">
      <c r="A676" s="16">
        <v>676</v>
      </c>
      <c r="B676" s="16" t="s">
        <v>2172</v>
      </c>
      <c r="C676" s="17">
        <v>45429.77083333333</v>
      </c>
      <c r="D676" s="17">
        <v>45432.77083333333</v>
      </c>
      <c r="E676" s="16" t="s">
        <v>2173</v>
      </c>
      <c r="F676" s="16" t="s">
        <v>90</v>
      </c>
      <c r="G676" s="16" t="s">
        <v>109</v>
      </c>
      <c r="H676" s="16" t="s">
        <v>52</v>
      </c>
      <c r="I676" s="16" t="s">
        <v>258</v>
      </c>
      <c r="J676" s="16" t="s">
        <v>259</v>
      </c>
      <c r="K676" s="16" t="s">
        <v>93</v>
      </c>
      <c r="L676" s="16" t="s">
        <v>94</v>
      </c>
      <c r="M676" s="16" t="s">
        <v>2174</v>
      </c>
      <c r="N676" s="16" t="s">
        <v>42</v>
      </c>
      <c r="O676" s="16">
        <v>1</v>
      </c>
      <c r="P676" s="18">
        <v>1033.71</v>
      </c>
      <c r="Q676" s="19">
        <v>0</v>
      </c>
      <c r="R676" s="19">
        <v>0</v>
      </c>
      <c r="S676" s="18">
        <v>1033.71</v>
      </c>
      <c r="T676" s="18">
        <v>630.82</v>
      </c>
      <c r="U676" s="18">
        <v>402.89</v>
      </c>
      <c r="V676" s="16" t="s">
        <v>131</v>
      </c>
      <c r="W676" s="16" t="s">
        <v>122</v>
      </c>
      <c r="X676" s="18">
        <f>IF(OR(O676="",P676="",R676=""),"",O676*P676*(1-R676))</f>
        <v>1033.71</v>
      </c>
      <c r="Y676" s="18">
        <f>IF(OR(X676="",T676=""),"",X676-T676)</f>
        <v>402.89</v>
      </c>
      <c r="Z676" s="19">
        <f>IFERROR(Y676/X676,"")</f>
        <v>0.3898</v>
      </c>
      <c r="AA676" s="16">
        <f>IF(OR(C676="",D676=""),"",D676-C676)</f>
        <v>3</v>
      </c>
      <c r="AB676" s="16">
        <f>IF(C676="","",MONTH(C676))</f>
        <v>5</v>
      </c>
      <c r="AC676" s="16">
        <f>IF(C676="","",YEAR(C676))</f>
        <v>2024</v>
      </c>
      <c r="AD676" s="16" t="s">
        <v>86</v>
      </c>
      <c r="AE676" s="16" t="s">
        <v>66</v>
      </c>
      <c r="AF676" s="16" t="s">
        <v>132</v>
      </c>
    </row>
    <row r="677" spans="1:32" x14ac:dyDescent="0.25">
      <c r="A677" s="1">
        <v>677</v>
      </c>
      <c r="B677" s="1" t="s">
        <v>2175</v>
      </c>
      <c r="C677" s="2">
        <v>45814.77083333333</v>
      </c>
      <c r="D677" s="2">
        <v>45817.77083333333</v>
      </c>
      <c r="E677" s="1" t="s">
        <v>2075</v>
      </c>
      <c r="F677" s="1" t="s">
        <v>149</v>
      </c>
      <c r="G677" s="1" t="s">
        <v>35</v>
      </c>
      <c r="H677" s="1" t="s">
        <v>36</v>
      </c>
      <c r="I677" s="1" t="s">
        <v>37</v>
      </c>
      <c r="J677" s="1" t="s">
        <v>38</v>
      </c>
      <c r="K677" s="1" t="s">
        <v>55</v>
      </c>
      <c r="L677" s="1" t="s">
        <v>74</v>
      </c>
      <c r="M677" s="1" t="s">
        <v>2176</v>
      </c>
      <c r="N677" s="1" t="s">
        <v>58</v>
      </c>
      <c r="O677" s="1">
        <v>3</v>
      </c>
      <c r="P677" s="3">
        <v>963.26</v>
      </c>
      <c r="Q677" s="4">
        <v>0</v>
      </c>
      <c r="R677" s="4">
        <v>0</v>
      </c>
      <c r="S677" s="3">
        <v>2889.78</v>
      </c>
      <c r="T677" s="3">
        <v>1811.23</v>
      </c>
      <c r="U677" s="3">
        <v>1078.55</v>
      </c>
      <c r="V677" s="1" t="s">
        <v>43</v>
      </c>
      <c r="W677" s="1" t="s">
        <v>44</v>
      </c>
      <c r="X677" s="3">
        <f>IF(OR(O677="",P677="",R677=""),"",O677*P677*(1-R677))</f>
        <v>2889.78</v>
      </c>
      <c r="Y677" s="3">
        <f>IF(OR(X677="",T677=""),"",X677-T677)</f>
        <v>1078.55</v>
      </c>
      <c r="Z677" s="4">
        <f>IFERROR(Y677/X677,"")</f>
        <v>0.3732</v>
      </c>
      <c r="AA677" s="1">
        <f>IF(OR(C677="",D677=""),"",D677-C677)</f>
        <v>3</v>
      </c>
      <c r="AB677" s="1">
        <f>IF(C677="","",MONTH(C677))</f>
        <v>6</v>
      </c>
      <c r="AC677" s="1">
        <f>IF(C677="","",YEAR(C677))</f>
        <v>2025</v>
      </c>
      <c r="AD677" s="1" t="s">
        <v>45</v>
      </c>
      <c r="AE677" s="1" t="s">
        <v>46</v>
      </c>
      <c r="AF677" s="1" t="s">
        <v>47</v>
      </c>
    </row>
    <row r="678" spans="1:32" x14ac:dyDescent="0.25">
      <c r="A678" s="1">
        <v>678</v>
      </c>
      <c r="B678" s="1" t="s">
        <v>2177</v>
      </c>
      <c r="C678" s="2">
        <v>45910.77083333333</v>
      </c>
      <c r="D678" s="2">
        <v>45917.77083333333</v>
      </c>
      <c r="E678" s="1" t="s">
        <v>2178</v>
      </c>
      <c r="F678" s="1" t="s">
        <v>139</v>
      </c>
      <c r="G678" s="1" t="s">
        <v>51</v>
      </c>
      <c r="H678" s="1" t="s">
        <v>36</v>
      </c>
      <c r="I678" s="1" t="s">
        <v>384</v>
      </c>
      <c r="J678" s="1" t="s">
        <v>385</v>
      </c>
      <c r="K678" s="1" t="s">
        <v>93</v>
      </c>
      <c r="L678" s="1" t="s">
        <v>196</v>
      </c>
      <c r="M678" s="1" t="s">
        <v>2179</v>
      </c>
      <c r="N678" s="1" t="s">
        <v>58</v>
      </c>
      <c r="O678" s="1">
        <v>7</v>
      </c>
      <c r="P678" s="3">
        <v>3411.21</v>
      </c>
      <c r="Q678" s="4">
        <v>0.15</v>
      </c>
      <c r="R678" s="4">
        <v>0.15</v>
      </c>
      <c r="S678" s="3">
        <v>20296.7</v>
      </c>
      <c r="T678" s="3">
        <v>14920.87</v>
      </c>
      <c r="U678" s="3">
        <v>5375.83</v>
      </c>
      <c r="V678" s="1" t="s">
        <v>43</v>
      </c>
      <c r="W678" s="1" t="s">
        <v>44</v>
      </c>
      <c r="X678" s="3">
        <f>IF(OR(O678="",P678="",R678=""),"",O678*P678*(1-R678))</f>
        <v>20296.7</v>
      </c>
      <c r="Y678" s="3">
        <f>IF(OR(X678="",T678=""),"",X678-T678)</f>
        <v>5375.83</v>
      </c>
      <c r="Z678" s="4">
        <f>IFERROR(Y678/X678,"")</f>
        <v>0.2649</v>
      </c>
      <c r="AA678" s="1">
        <f>IF(OR(C678="",D678=""),"",D678-C678)</f>
        <v>7</v>
      </c>
      <c r="AB678" s="1">
        <f>IF(C678="","",MONTH(C678))</f>
        <v>9</v>
      </c>
      <c r="AC678" s="1">
        <f>IF(C678="","",YEAR(C678))</f>
        <v>2025</v>
      </c>
      <c r="AD678" s="1" t="s">
        <v>45</v>
      </c>
      <c r="AE678" s="1" t="s">
        <v>46</v>
      </c>
      <c r="AF678" s="1" t="s">
        <v>47</v>
      </c>
    </row>
    <row r="679" spans="1:32" x14ac:dyDescent="0.25">
      <c r="A679" s="1">
        <v>679</v>
      </c>
      <c r="B679" s="1" t="s">
        <v>2180</v>
      </c>
      <c r="C679" s="2">
        <v>45464.77083333333</v>
      </c>
      <c r="D679" s="2">
        <v>45469.77083333333</v>
      </c>
      <c r="E679" s="1" t="s">
        <v>33</v>
      </c>
      <c r="F679" s="1" t="s">
        <v>61</v>
      </c>
      <c r="G679" s="1" t="s">
        <v>114</v>
      </c>
      <c r="H679" s="1" t="s">
        <v>71</v>
      </c>
      <c r="I679" s="1" t="s">
        <v>201</v>
      </c>
      <c r="J679" s="1" t="s">
        <v>202</v>
      </c>
      <c r="K679" s="1" t="s">
        <v>55</v>
      </c>
      <c r="L679" s="1" t="s">
        <v>83</v>
      </c>
      <c r="M679" s="1" t="s">
        <v>2181</v>
      </c>
      <c r="N679" s="1" t="s">
        <v>58</v>
      </c>
      <c r="O679" s="1">
        <v>7</v>
      </c>
      <c r="P679" s="3">
        <v>2623.48</v>
      </c>
      <c r="Q679" s="4">
        <v>0</v>
      </c>
      <c r="R679" s="4">
        <v>0</v>
      </c>
      <c r="S679" s="3">
        <v>18364.36</v>
      </c>
      <c r="T679" s="3">
        <v>15445.81</v>
      </c>
      <c r="U679" s="3">
        <v>2918.55</v>
      </c>
      <c r="V679" s="1" t="s">
        <v>43</v>
      </c>
      <c r="W679" s="1" t="s">
        <v>44</v>
      </c>
      <c r="X679" s="3">
        <f>IF(OR(O679="",P679="",R679=""),"",O679*P679*(1-R679))</f>
        <v>18364.36</v>
      </c>
      <c r="Y679" s="3">
        <f>IF(OR(X679="",T679=""),"",X679-T679)</f>
        <v>2918.55</v>
      </c>
      <c r="Z679" s="4">
        <f>IFERROR(Y679/X679,"")</f>
        <v>0.1589</v>
      </c>
      <c r="AA679" s="1">
        <f>IF(OR(C679="",D679=""),"",D679-C679)</f>
        <v>5</v>
      </c>
      <c r="AB679" s="1">
        <f>IF(C679="","",MONTH(C679))</f>
        <v>6</v>
      </c>
      <c r="AC679" s="1">
        <f>IF(C679="","",YEAR(C679))</f>
        <v>2024</v>
      </c>
      <c r="AD679" s="1" t="s">
        <v>45</v>
      </c>
      <c r="AE679" s="1" t="s">
        <v>46</v>
      </c>
      <c r="AF679" s="1" t="s">
        <v>47</v>
      </c>
    </row>
    <row r="680" spans="1:32" x14ac:dyDescent="0.25">
      <c r="A680" s="1">
        <v>680</v>
      </c>
      <c r="B680" s="1" t="s">
        <v>2182</v>
      </c>
      <c r="C680" s="2">
        <v>45619.77083333333</v>
      </c>
      <c r="D680" s="2">
        <v>45626.77083333333</v>
      </c>
      <c r="E680" s="1" t="s">
        <v>2183</v>
      </c>
      <c r="F680" s="1" t="s">
        <v>294</v>
      </c>
      <c r="G680" s="1" t="s">
        <v>109</v>
      </c>
      <c r="H680" s="1" t="s">
        <v>71</v>
      </c>
      <c r="I680" s="1" t="s">
        <v>201</v>
      </c>
      <c r="J680" s="1" t="s">
        <v>202</v>
      </c>
      <c r="K680" s="1" t="s">
        <v>55</v>
      </c>
      <c r="L680" s="1" t="s">
        <v>56</v>
      </c>
      <c r="M680" s="1" t="s">
        <v>2184</v>
      </c>
      <c r="N680" s="1" t="s">
        <v>42</v>
      </c>
      <c r="O680" s="1">
        <v>9</v>
      </c>
      <c r="P680" s="3">
        <v>2763.61</v>
      </c>
      <c r="Q680" s="4">
        <v>0.15</v>
      </c>
      <c r="R680" s="4">
        <v>0.15</v>
      </c>
      <c r="S680" s="3">
        <v>21141.62</v>
      </c>
      <c r="T680" s="3">
        <v>11676.33</v>
      </c>
      <c r="U680" s="3">
        <v>9465.29</v>
      </c>
      <c r="V680" s="1" t="s">
        <v>43</v>
      </c>
      <c r="W680" s="1" t="s">
        <v>44</v>
      </c>
      <c r="X680" s="3">
        <f>IF(OR(O680="",P680="",R680=""),"",O680*P680*(1-R680))</f>
        <v>21141.62</v>
      </c>
      <c r="Y680" s="3">
        <f>IF(OR(X680="",T680=""),"",X680-T680)</f>
        <v>9465.29</v>
      </c>
      <c r="Z680" s="4">
        <f>IFERROR(Y680/X680,"")</f>
        <v>0.4477</v>
      </c>
      <c r="AA680" s="1">
        <f>IF(OR(C680="",D680=""),"",D680-C680)</f>
        <v>7</v>
      </c>
      <c r="AB680" s="1">
        <f>IF(C680="","",MONTH(C680))</f>
        <v>11</v>
      </c>
      <c r="AC680" s="1">
        <f>IF(C680="","",YEAR(C680))</f>
        <v>2024</v>
      </c>
      <c r="AD680" s="1" t="s">
        <v>45</v>
      </c>
      <c r="AE680" s="1" t="s">
        <v>46</v>
      </c>
      <c r="AF680" s="1" t="s">
        <v>47</v>
      </c>
    </row>
    <row r="681" spans="1:32" s="10" customFormat="1" x14ac:dyDescent="0.25">
      <c r="A681" s="11">
        <v>681</v>
      </c>
      <c r="B681" s="11" t="s">
        <v>2185</v>
      </c>
      <c r="C681" s="12">
        <v>45884.77083333333</v>
      </c>
      <c r="D681" s="12">
        <v>45891.77083333333</v>
      </c>
      <c r="E681" s="11" t="s">
        <v>2186</v>
      </c>
      <c r="F681" s="11" t="s">
        <v>163</v>
      </c>
      <c r="G681" s="11" t="s">
        <v>109</v>
      </c>
      <c r="H681" s="11" t="s">
        <v>36</v>
      </c>
      <c r="I681" s="11" t="s">
        <v>143</v>
      </c>
      <c r="J681" s="11" t="s">
        <v>144</v>
      </c>
      <c r="K681" s="11" t="s">
        <v>93</v>
      </c>
      <c r="L681" s="11" t="s">
        <v>99</v>
      </c>
      <c r="M681" s="11" t="s">
        <v>2187</v>
      </c>
      <c r="N681" s="11" t="s">
        <v>58</v>
      </c>
      <c r="O681" s="11">
        <v>4</v>
      </c>
      <c r="P681" s="13">
        <v>1410.57</v>
      </c>
      <c r="Q681" s="14"/>
      <c r="R681" s="14">
        <v>0</v>
      </c>
      <c r="S681" s="13">
        <v>5360.17</v>
      </c>
      <c r="T681" s="13">
        <v>3881.51</v>
      </c>
      <c r="U681" s="13">
        <v>1478.66</v>
      </c>
      <c r="V681" s="11" t="s">
        <v>121</v>
      </c>
      <c r="W681" s="11" t="s">
        <v>85</v>
      </c>
      <c r="X681" s="13">
        <f>IF(OR(O681="",P681="",R681=""),"",O681*P681*(1-R681))</f>
        <v>5642.28</v>
      </c>
      <c r="Y681" s="13">
        <f>IF(OR(X681="",T681=""),"",X681-T681)</f>
        <v>1760.77</v>
      </c>
      <c r="Z681" s="14">
        <f>IFERROR(Y681/X681,"")</f>
        <v>0.3121</v>
      </c>
      <c r="AA681" s="11">
        <f>IF(OR(C681="",D681=""),"",D681-C681)</f>
        <v>7</v>
      </c>
      <c r="AB681" s="11">
        <f>IF(C681="","",MONTH(C681))</f>
        <v>8</v>
      </c>
      <c r="AC681" s="11">
        <f>IF(C681="","",YEAR(C681))</f>
        <v>2025</v>
      </c>
      <c r="AD681" s="11" t="s">
        <v>65</v>
      </c>
      <c r="AE681" s="11" t="s">
        <v>66</v>
      </c>
      <c r="AF681" s="11" t="s">
        <v>1277</v>
      </c>
    </row>
    <row r="682" spans="1:32" x14ac:dyDescent="0.25">
      <c r="A682" s="1">
        <v>682</v>
      </c>
      <c r="B682" s="1" t="s">
        <v>2188</v>
      </c>
      <c r="C682" s="2">
        <v>45440.77083333333</v>
      </c>
      <c r="D682" s="2">
        <v>45447.77083333333</v>
      </c>
      <c r="E682" s="1" t="s">
        <v>2189</v>
      </c>
      <c r="F682" s="1" t="s">
        <v>294</v>
      </c>
      <c r="G682" s="1" t="s">
        <v>109</v>
      </c>
      <c r="H682" s="1" t="s">
        <v>71</v>
      </c>
      <c r="I682" s="1" t="s">
        <v>277</v>
      </c>
      <c r="J682" s="1" t="s">
        <v>278</v>
      </c>
      <c r="K682" s="1" t="s">
        <v>93</v>
      </c>
      <c r="L682" s="1" t="s">
        <v>94</v>
      </c>
      <c r="M682" s="1" t="s">
        <v>2190</v>
      </c>
      <c r="N682" s="1" t="s">
        <v>64</v>
      </c>
      <c r="O682" s="1">
        <v>4</v>
      </c>
      <c r="P682" s="3">
        <v>3700.24</v>
      </c>
      <c r="Q682" s="4">
        <v>0</v>
      </c>
      <c r="R682" s="4">
        <v>0</v>
      </c>
      <c r="S682" s="3">
        <v>14800.96</v>
      </c>
      <c r="T682" s="3">
        <v>12048.39</v>
      </c>
      <c r="U682" s="3">
        <v>2752.57</v>
      </c>
      <c r="V682" s="1" t="s">
        <v>43</v>
      </c>
      <c r="W682" s="1" t="s">
        <v>44</v>
      </c>
      <c r="X682" s="3">
        <f>IF(OR(O682="",P682="",R682=""),"",O682*P682*(1-R682))</f>
        <v>14800.96</v>
      </c>
      <c r="Y682" s="3">
        <f>IF(OR(X682="",T682=""),"",X682-T682)</f>
        <v>2752.57</v>
      </c>
      <c r="Z682" s="4">
        <f>IFERROR(Y682/X682,"")</f>
        <v>0.186</v>
      </c>
      <c r="AA682" s="1">
        <f>IF(OR(C682="",D682=""),"",D682-C682)</f>
        <v>7</v>
      </c>
      <c r="AB682" s="1">
        <f>IF(C682="","",MONTH(C682))</f>
        <v>5</v>
      </c>
      <c r="AC682" s="1">
        <f>IF(C682="","",YEAR(C682))</f>
        <v>2024</v>
      </c>
      <c r="AD682" s="1" t="s">
        <v>45</v>
      </c>
      <c r="AE682" s="1" t="s">
        <v>46</v>
      </c>
      <c r="AF682" s="1" t="s">
        <v>47</v>
      </c>
    </row>
    <row r="683" spans="1:32" s="15" customFormat="1" x14ac:dyDescent="0.25">
      <c r="A683" s="16">
        <v>683</v>
      </c>
      <c r="B683" s="16" t="s">
        <v>2191</v>
      </c>
      <c r="C683" s="17">
        <v>45476.77083333333</v>
      </c>
      <c r="D683" s="17">
        <v>45482.77083333333</v>
      </c>
      <c r="E683" s="16" t="s">
        <v>2192</v>
      </c>
      <c r="F683" s="16" t="s">
        <v>90</v>
      </c>
      <c r="G683" s="16" t="s">
        <v>109</v>
      </c>
      <c r="H683" s="16" t="s">
        <v>36</v>
      </c>
      <c r="I683" s="16" t="s">
        <v>384</v>
      </c>
      <c r="J683" s="16" t="s">
        <v>385</v>
      </c>
      <c r="K683" s="16" t="s">
        <v>55</v>
      </c>
      <c r="L683" s="16" t="s">
        <v>56</v>
      </c>
      <c r="M683" s="16" t="s">
        <v>2193</v>
      </c>
      <c r="N683" s="16" t="s">
        <v>42</v>
      </c>
      <c r="O683" s="16">
        <v>5</v>
      </c>
      <c r="P683" s="18">
        <v>1200.27</v>
      </c>
      <c r="Q683" s="19">
        <v>0</v>
      </c>
      <c r="R683" s="19">
        <v>0</v>
      </c>
      <c r="S683" s="18">
        <v>6001.35</v>
      </c>
      <c r="T683" s="18">
        <v>4182.99</v>
      </c>
      <c r="U683" s="18">
        <v>1818.36</v>
      </c>
      <c r="V683" s="16" t="s">
        <v>43</v>
      </c>
      <c r="W683" s="16" t="s">
        <v>85</v>
      </c>
      <c r="X683" s="18">
        <f>IF(OR(O683="",P683="",R683=""),"",O683*P683*(1-R683))</f>
        <v>6001.35</v>
      </c>
      <c r="Y683" s="18">
        <f>IF(OR(X683="",T683=""),"",X683-T683)</f>
        <v>1818.36</v>
      </c>
      <c r="Z683" s="19">
        <f>IFERROR(Y683/X683,"")</f>
        <v>0.303</v>
      </c>
      <c r="AA683" s="16">
        <f>IF(OR(C683="",D683=""),"",D683-C683)</f>
        <v>6</v>
      </c>
      <c r="AB683" s="16">
        <f>IF(C683="","",MONTH(C683))</f>
        <v>7</v>
      </c>
      <c r="AC683" s="16">
        <f>IF(C683="","",YEAR(C683))</f>
        <v>2024</v>
      </c>
      <c r="AD683" s="16" t="s">
        <v>86</v>
      </c>
      <c r="AE683" s="16" t="s">
        <v>66</v>
      </c>
      <c r="AF683" s="16" t="s">
        <v>87</v>
      </c>
    </row>
    <row r="684" spans="1:32" s="10" customFormat="1" x14ac:dyDescent="0.25">
      <c r="A684" s="11">
        <v>684</v>
      </c>
      <c r="B684" s="11" t="s">
        <v>2194</v>
      </c>
      <c r="C684" s="12">
        <v>45692.77083333333</v>
      </c>
      <c r="D684" s="12">
        <v>45692.77083333333</v>
      </c>
      <c r="E684" s="11" t="s">
        <v>2195</v>
      </c>
      <c r="F684" s="11" t="s">
        <v>79</v>
      </c>
      <c r="G684" s="11" t="s">
        <v>109</v>
      </c>
      <c r="H684" s="11" t="s">
        <v>36</v>
      </c>
      <c r="I684" s="11" t="s">
        <v>266</v>
      </c>
      <c r="J684" s="11" t="s">
        <v>267</v>
      </c>
      <c r="K684" s="11" t="s">
        <v>39</v>
      </c>
      <c r="L684" s="11" t="s">
        <v>145</v>
      </c>
      <c r="M684" s="11" t="s">
        <v>2196</v>
      </c>
      <c r="N684" s="11" t="s">
        <v>58</v>
      </c>
      <c r="O684" s="11">
        <v>3</v>
      </c>
      <c r="P684" s="13">
        <v>2590.78</v>
      </c>
      <c r="Q684" s="14"/>
      <c r="R684" s="14">
        <v>0</v>
      </c>
      <c r="S684" s="13">
        <v>7383.72</v>
      </c>
      <c r="T684" s="13">
        <v>4113.66</v>
      </c>
      <c r="U684" s="13">
        <v>3270.06</v>
      </c>
      <c r="V684" s="11" t="s">
        <v>43</v>
      </c>
      <c r="W684" s="11" t="s">
        <v>44</v>
      </c>
      <c r="X684" s="13">
        <f>IF(OR(O684="",P684="",R684=""),"",O684*P684*(1-R684))</f>
        <v>7772.34</v>
      </c>
      <c r="Y684" s="13">
        <f>IF(OR(X684="",T684=""),"",X684-T684)</f>
        <v>3658.68</v>
      </c>
      <c r="Z684" s="14">
        <f>IFERROR(Y684/X684,"")</f>
        <v>0.4707</v>
      </c>
      <c r="AA684" s="11">
        <f>IF(OR(C684="",D684=""),"",D684-C684)</f>
        <v>0</v>
      </c>
      <c r="AB684" s="11">
        <f>IF(C684="","",MONTH(C684))</f>
        <v>2</v>
      </c>
      <c r="AC684" s="11">
        <f>IF(C684="","",YEAR(C684))</f>
        <v>2025</v>
      </c>
      <c r="AD684" s="11" t="s">
        <v>65</v>
      </c>
      <c r="AE684" s="11" t="s">
        <v>66</v>
      </c>
      <c r="AF684" s="11" t="s">
        <v>225</v>
      </c>
    </row>
    <row r="685" spans="1:32" s="15" customFormat="1" x14ac:dyDescent="0.25">
      <c r="A685" s="16">
        <v>685</v>
      </c>
      <c r="B685" s="16" t="s">
        <v>2197</v>
      </c>
      <c r="C685" s="17">
        <v>45857.77083333333</v>
      </c>
      <c r="D685" s="17">
        <v>45861.77083333333</v>
      </c>
      <c r="E685" s="16" t="s">
        <v>2198</v>
      </c>
      <c r="F685" s="16" t="s">
        <v>70</v>
      </c>
      <c r="G685" s="16" t="s">
        <v>51</v>
      </c>
      <c r="H685" s="16" t="s">
        <v>71</v>
      </c>
      <c r="I685" s="16" t="s">
        <v>72</v>
      </c>
      <c r="J685" s="16" t="s">
        <v>73</v>
      </c>
      <c r="K685" s="16" t="s">
        <v>55</v>
      </c>
      <c r="L685" s="16" t="s">
        <v>74</v>
      </c>
      <c r="M685" s="16" t="s">
        <v>2199</v>
      </c>
      <c r="N685" s="16" t="s">
        <v>42</v>
      </c>
      <c r="O685" s="16">
        <v>6</v>
      </c>
      <c r="P685" s="18">
        <v>1646.45</v>
      </c>
      <c r="Q685" s="19">
        <v>0.2</v>
      </c>
      <c r="R685" s="19">
        <v>0.2</v>
      </c>
      <c r="S685" s="18">
        <v>7902.96</v>
      </c>
      <c r="T685" s="18">
        <v>5512.03</v>
      </c>
      <c r="U685" s="18">
        <v>2390.93</v>
      </c>
      <c r="V685" s="16" t="s">
        <v>121</v>
      </c>
      <c r="W685" s="16" t="s">
        <v>85</v>
      </c>
      <c r="X685" s="18">
        <f>IF(OR(O685="",P685="",R685=""),"",O685*P685*(1-R685))</f>
        <v>7902.96</v>
      </c>
      <c r="Y685" s="18">
        <f>IF(OR(X685="",T685=""),"",X685-T685)</f>
        <v>2390.93</v>
      </c>
      <c r="Z685" s="19">
        <f>IFERROR(Y685/X685,"")</f>
        <v>0.3025</v>
      </c>
      <c r="AA685" s="16">
        <f>IF(OR(C685="",D685=""),"",D685-C685)</f>
        <v>4</v>
      </c>
      <c r="AB685" s="16">
        <f>IF(C685="","",MONTH(C685))</f>
        <v>7</v>
      </c>
      <c r="AC685" s="16">
        <f>IF(C685="","",YEAR(C685))</f>
        <v>2025</v>
      </c>
      <c r="AD685" s="16" t="s">
        <v>86</v>
      </c>
      <c r="AE685" s="16" t="s">
        <v>66</v>
      </c>
      <c r="AF685" s="16" t="s">
        <v>160</v>
      </c>
    </row>
    <row r="686" spans="1:32" s="15" customFormat="1" x14ac:dyDescent="0.25">
      <c r="A686" s="16">
        <v>686</v>
      </c>
      <c r="B686" s="16" t="s">
        <v>2200</v>
      </c>
      <c r="C686" s="17">
        <v>45858.77083333333</v>
      </c>
      <c r="D686" s="17">
        <v>45858.77083333333</v>
      </c>
      <c r="E686" s="16" t="s">
        <v>2201</v>
      </c>
      <c r="F686" s="16" t="s">
        <v>61</v>
      </c>
      <c r="G686" s="16" t="s">
        <v>114</v>
      </c>
      <c r="H686" s="16" t="s">
        <v>71</v>
      </c>
      <c r="I686" s="16" t="s">
        <v>277</v>
      </c>
      <c r="J686" s="16" t="s">
        <v>278</v>
      </c>
      <c r="K686" s="16" t="s">
        <v>55</v>
      </c>
      <c r="L686" s="16" t="s">
        <v>182</v>
      </c>
      <c r="M686" s="16" t="s">
        <v>2202</v>
      </c>
      <c r="N686" s="16" t="s">
        <v>64</v>
      </c>
      <c r="O686" s="16">
        <v>7</v>
      </c>
      <c r="P686" s="18">
        <v>4396.65</v>
      </c>
      <c r="Q686" s="19">
        <v>0.2</v>
      </c>
      <c r="R686" s="19">
        <v>0.2</v>
      </c>
      <c r="S686" s="18">
        <v>24621.24</v>
      </c>
      <c r="T686" s="18">
        <v>17155.48</v>
      </c>
      <c r="U686" s="18">
        <v>7465.76</v>
      </c>
      <c r="V686" s="16" t="s">
        <v>121</v>
      </c>
      <c r="W686" s="16" t="s">
        <v>85</v>
      </c>
      <c r="X686" s="18">
        <f>IF(OR(O686="",P686="",R686=""),"",O686*P686*(1-R686))</f>
        <v>24621.24</v>
      </c>
      <c r="Y686" s="18">
        <f>IF(OR(X686="",T686=""),"",X686-T686)</f>
        <v>7465.76</v>
      </c>
      <c r="Z686" s="19">
        <f>IFERROR(Y686/X686,"")</f>
        <v>0.3032</v>
      </c>
      <c r="AA686" s="16">
        <f>IF(OR(C686="",D686=""),"",D686-C686)</f>
        <v>0</v>
      </c>
      <c r="AB686" s="16">
        <f>IF(C686="","",MONTH(C686))</f>
        <v>7</v>
      </c>
      <c r="AC686" s="16">
        <f>IF(C686="","",YEAR(C686))</f>
        <v>2025</v>
      </c>
      <c r="AD686" s="16" t="s">
        <v>86</v>
      </c>
      <c r="AE686" s="16" t="s">
        <v>66</v>
      </c>
      <c r="AF686" s="16" t="s">
        <v>160</v>
      </c>
    </row>
    <row r="687" spans="1:32" s="10" customFormat="1" x14ac:dyDescent="0.25">
      <c r="A687" s="11">
        <v>687</v>
      </c>
      <c r="B687" s="11" t="s">
        <v>2203</v>
      </c>
      <c r="C687" s="12">
        <v>45930.77083333333</v>
      </c>
      <c r="D687" s="12">
        <v>45932.77083333333</v>
      </c>
      <c r="E687" s="11" t="s">
        <v>1867</v>
      </c>
      <c r="F687" s="11" t="s">
        <v>98</v>
      </c>
      <c r="G687" s="11" t="s">
        <v>109</v>
      </c>
      <c r="H687" s="11" t="s">
        <v>80</v>
      </c>
      <c r="I687" s="11" t="s">
        <v>216</v>
      </c>
      <c r="J687" s="11" t="s">
        <v>217</v>
      </c>
      <c r="K687" s="11" t="s">
        <v>39</v>
      </c>
      <c r="L687" s="11" t="s">
        <v>62</v>
      </c>
      <c r="M687" s="11" t="s">
        <v>2204</v>
      </c>
      <c r="N687" s="11" t="s">
        <v>76</v>
      </c>
      <c r="O687" s="11">
        <v>9</v>
      </c>
      <c r="P687" s="13">
        <v>818.15</v>
      </c>
      <c r="Q687" s="14">
        <v>0.55</v>
      </c>
      <c r="R687" s="14">
        <v>0.55</v>
      </c>
      <c r="S687" s="13">
        <v>6627.01</v>
      </c>
      <c r="T687" s="13">
        <v>5606.79</v>
      </c>
      <c r="U687" s="13">
        <v>1020.22</v>
      </c>
      <c r="V687" s="11" t="s">
        <v>178</v>
      </c>
      <c r="W687" s="11" t="s">
        <v>85</v>
      </c>
      <c r="X687" s="13">
        <f>IF(OR(O687="",P687="",R687=""),"",O687*P687*(1-R687))</f>
        <v>3313.51</v>
      </c>
      <c r="Y687" s="13">
        <f>IF(OR(X687="",T687=""),"",X687-T687)</f>
        <v>-2293.28</v>
      </c>
      <c r="Z687" s="14">
        <f>IFERROR(Y687/X687,"")</f>
        <v>-0.6921</v>
      </c>
      <c r="AA687" s="11">
        <f>IF(OR(C687="",D687=""),"",D687-C687)</f>
        <v>2</v>
      </c>
      <c r="AB687" s="11">
        <f>IF(C687="","",MONTH(C687))</f>
        <v>10</v>
      </c>
      <c r="AC687" s="11">
        <f>IF(C687="","",YEAR(C687))</f>
        <v>2025</v>
      </c>
      <c r="AD687" s="11" t="s">
        <v>65</v>
      </c>
      <c r="AE687" s="11" t="s">
        <v>66</v>
      </c>
      <c r="AF687" s="11" t="s">
        <v>2205</v>
      </c>
    </row>
    <row r="688" spans="1:32" x14ac:dyDescent="0.25">
      <c r="A688" s="1">
        <v>688</v>
      </c>
      <c r="B688" s="1" t="s">
        <v>2206</v>
      </c>
      <c r="C688" s="2">
        <v>45375.77083333333</v>
      </c>
      <c r="D688" s="2">
        <v>45383.77083333333</v>
      </c>
      <c r="E688" s="1" t="s">
        <v>2207</v>
      </c>
      <c r="F688" s="1" t="s">
        <v>153</v>
      </c>
      <c r="G688" s="1" t="s">
        <v>114</v>
      </c>
      <c r="H688" s="1" t="s">
        <v>71</v>
      </c>
      <c r="I688" s="1" t="s">
        <v>277</v>
      </c>
      <c r="J688" s="1" t="s">
        <v>278</v>
      </c>
      <c r="K688" s="1" t="s">
        <v>93</v>
      </c>
      <c r="L688" s="1" t="s">
        <v>99</v>
      </c>
      <c r="M688" s="1" t="s">
        <v>2208</v>
      </c>
      <c r="N688" s="1" t="s">
        <v>76</v>
      </c>
      <c r="O688" s="1">
        <v>2</v>
      </c>
      <c r="P688" s="3">
        <v>2349.13</v>
      </c>
      <c r="Q688" s="4">
        <v>0</v>
      </c>
      <c r="R688" s="4">
        <v>0</v>
      </c>
      <c r="S688" s="3">
        <v>4698.26</v>
      </c>
      <c r="T688" s="3">
        <v>2654.92</v>
      </c>
      <c r="U688" s="3">
        <v>2043.34</v>
      </c>
      <c r="V688" s="1" t="s">
        <v>43</v>
      </c>
      <c r="W688" s="1" t="s">
        <v>44</v>
      </c>
      <c r="X688" s="3">
        <f>IF(OR(O688="",P688="",R688=""),"",O688*P688*(1-R688))</f>
        <v>4698.26</v>
      </c>
      <c r="Y688" s="3">
        <f>IF(OR(X688="",T688=""),"",X688-T688)</f>
        <v>2043.34</v>
      </c>
      <c r="Z688" s="4">
        <f>IFERROR(Y688/X688,"")</f>
        <v>0.4349</v>
      </c>
      <c r="AA688" s="1">
        <f>IF(OR(C688="",D688=""),"",D688-C688)</f>
        <v>8</v>
      </c>
      <c r="AB688" s="1">
        <f>IF(C688="","",MONTH(C688))</f>
        <v>3</v>
      </c>
      <c r="AC688" s="1">
        <f>IF(C688="","",YEAR(C688))</f>
        <v>2024</v>
      </c>
      <c r="AD688" s="1" t="s">
        <v>45</v>
      </c>
      <c r="AE688" s="1" t="s">
        <v>46</v>
      </c>
      <c r="AF688" s="1" t="s">
        <v>47</v>
      </c>
    </row>
    <row r="689" spans="1:32" s="15" customFormat="1" x14ac:dyDescent="0.25">
      <c r="A689" s="16">
        <v>689</v>
      </c>
      <c r="B689" s="16" t="s">
        <v>2209</v>
      </c>
      <c r="C689" s="17">
        <v>45937.77083333333</v>
      </c>
      <c r="D689" s="17">
        <v>45942.77083333333</v>
      </c>
      <c r="E689" s="16" t="s">
        <v>2210</v>
      </c>
      <c r="F689" s="16" t="s">
        <v>50</v>
      </c>
      <c r="G689" s="16" t="s">
        <v>114</v>
      </c>
      <c r="H689" s="16" t="s">
        <v>36</v>
      </c>
      <c r="I689" s="16" t="s">
        <v>143</v>
      </c>
      <c r="J689" s="16" t="s">
        <v>144</v>
      </c>
      <c r="K689" s="16" t="s">
        <v>55</v>
      </c>
      <c r="L689" s="16" t="s">
        <v>56</v>
      </c>
      <c r="M689" s="16" t="s">
        <v>2211</v>
      </c>
      <c r="N689" s="16" t="s">
        <v>64</v>
      </c>
      <c r="O689" s="16">
        <v>4</v>
      </c>
      <c r="P689" s="18">
        <v>172.05</v>
      </c>
      <c r="Q689" s="19">
        <v>0</v>
      </c>
      <c r="R689" s="19">
        <v>0</v>
      </c>
      <c r="S689" s="18">
        <v>688.2</v>
      </c>
      <c r="T689" s="18">
        <v>497.68</v>
      </c>
      <c r="U689" s="18">
        <v>190.52</v>
      </c>
      <c r="V689" s="16" t="s">
        <v>178</v>
      </c>
      <c r="W689" s="16" t="s">
        <v>85</v>
      </c>
      <c r="X689" s="18">
        <f>IF(OR(O689="",P689="",R689=""),"",O689*P689*(1-R689))</f>
        <v>688.2</v>
      </c>
      <c r="Y689" s="18">
        <f>IF(OR(X689="",T689=""),"",X689-T689)</f>
        <v>190.52</v>
      </c>
      <c r="Z689" s="19">
        <f>IFERROR(Y689/X689,"")</f>
        <v>0.2768</v>
      </c>
      <c r="AA689" s="16">
        <f>IF(OR(C689="",D689=""),"",D689-C689)</f>
        <v>5</v>
      </c>
      <c r="AB689" s="16">
        <f>IF(C689="","",MONTH(C689))</f>
        <v>10</v>
      </c>
      <c r="AC689" s="16">
        <f>IF(C689="","",YEAR(C689))</f>
        <v>2025</v>
      </c>
      <c r="AD689" s="16" t="s">
        <v>86</v>
      </c>
      <c r="AE689" s="16" t="s">
        <v>66</v>
      </c>
      <c r="AF689" s="16" t="s">
        <v>296</v>
      </c>
    </row>
    <row r="690" spans="1:32" x14ac:dyDescent="0.25">
      <c r="A690" s="1">
        <v>690</v>
      </c>
      <c r="B690" s="1" t="s">
        <v>2212</v>
      </c>
      <c r="C690" s="2">
        <v>45713.77083333333</v>
      </c>
      <c r="D690" s="2">
        <v>45714.77083333333</v>
      </c>
      <c r="E690" s="1" t="s">
        <v>2213</v>
      </c>
      <c r="F690" s="1" t="s">
        <v>98</v>
      </c>
      <c r="G690" s="1" t="s">
        <v>114</v>
      </c>
      <c r="H690" s="1" t="s">
        <v>36</v>
      </c>
      <c r="I690" s="1" t="s">
        <v>266</v>
      </c>
      <c r="J690" s="1" t="s">
        <v>267</v>
      </c>
      <c r="K690" s="1" t="s">
        <v>39</v>
      </c>
      <c r="L690" s="1" t="s">
        <v>62</v>
      </c>
      <c r="M690" s="1" t="s">
        <v>2214</v>
      </c>
      <c r="N690" s="1" t="s">
        <v>42</v>
      </c>
      <c r="O690" s="1">
        <v>6</v>
      </c>
      <c r="P690" s="3">
        <v>3037.66</v>
      </c>
      <c r="Q690" s="4">
        <v>0.15</v>
      </c>
      <c r="R690" s="4">
        <v>0.15</v>
      </c>
      <c r="S690" s="3">
        <v>15492.07</v>
      </c>
      <c r="T690" s="3">
        <v>12581.23</v>
      </c>
      <c r="U690" s="3">
        <v>2910.84</v>
      </c>
      <c r="V690" s="1" t="s">
        <v>43</v>
      </c>
      <c r="W690" s="1" t="s">
        <v>44</v>
      </c>
      <c r="X690" s="3">
        <f>IF(OR(O690="",P690="",R690=""),"",O690*P690*(1-R690))</f>
        <v>15492.07</v>
      </c>
      <c r="Y690" s="3">
        <f>IF(OR(X690="",T690=""),"",X690-T690)</f>
        <v>2910.84</v>
      </c>
      <c r="Z690" s="4">
        <f>IFERROR(Y690/X690,"")</f>
        <v>0.1879</v>
      </c>
      <c r="AA690" s="1">
        <f>IF(OR(C690="",D690=""),"",D690-C690)</f>
        <v>1</v>
      </c>
      <c r="AB690" s="1">
        <f>IF(C690="","",MONTH(C690))</f>
        <v>2</v>
      </c>
      <c r="AC690" s="1">
        <f>IF(C690="","",YEAR(C690))</f>
        <v>2025</v>
      </c>
      <c r="AD690" s="1" t="s">
        <v>45</v>
      </c>
      <c r="AE690" s="1" t="s">
        <v>46</v>
      </c>
      <c r="AF690" s="1" t="s">
        <v>47</v>
      </c>
    </row>
    <row r="691" spans="1:32" s="15" customFormat="1" x14ac:dyDescent="0.25">
      <c r="A691" s="16">
        <v>691</v>
      </c>
      <c r="B691" s="16" t="s">
        <v>2215</v>
      </c>
      <c r="C691" s="17">
        <v>45569.77083333333</v>
      </c>
      <c r="D691" s="17">
        <v>45570.77083333333</v>
      </c>
      <c r="E691" s="16" t="s">
        <v>2216</v>
      </c>
      <c r="F691" s="16" t="s">
        <v>163</v>
      </c>
      <c r="G691" s="16" t="s">
        <v>51</v>
      </c>
      <c r="H691" s="16" t="s">
        <v>36</v>
      </c>
      <c r="I691" s="16" t="s">
        <v>143</v>
      </c>
      <c r="J691" s="16" t="s">
        <v>144</v>
      </c>
      <c r="K691" s="16" t="s">
        <v>55</v>
      </c>
      <c r="L691" s="16" t="s">
        <v>56</v>
      </c>
      <c r="M691" s="16" t="s">
        <v>2217</v>
      </c>
      <c r="N691" s="16" t="s">
        <v>76</v>
      </c>
      <c r="O691" s="16">
        <v>9</v>
      </c>
      <c r="P691" s="18">
        <v>489.58</v>
      </c>
      <c r="Q691" s="19">
        <v>0.15</v>
      </c>
      <c r="R691" s="19">
        <v>0.15</v>
      </c>
      <c r="S691" s="18">
        <v>3745.29</v>
      </c>
      <c r="T691" s="18">
        <v>2302.65</v>
      </c>
      <c r="U691" s="18">
        <v>1442.64</v>
      </c>
      <c r="V691" s="16" t="s">
        <v>178</v>
      </c>
      <c r="W691" s="16" t="s">
        <v>85</v>
      </c>
      <c r="X691" s="18">
        <f>IF(OR(O691="",P691="",R691=""),"",O691*P691*(1-R691))</f>
        <v>3745.29</v>
      </c>
      <c r="Y691" s="18">
        <f>IF(OR(X691="",T691=""),"",X691-T691)</f>
        <v>1442.64</v>
      </c>
      <c r="Z691" s="19">
        <f>IFERROR(Y691/X691,"")</f>
        <v>0.3852</v>
      </c>
      <c r="AA691" s="16">
        <f>IF(OR(C691="",D691=""),"",D691-C691)</f>
        <v>1</v>
      </c>
      <c r="AB691" s="16">
        <f>IF(C691="","",MONTH(C691))</f>
        <v>10</v>
      </c>
      <c r="AC691" s="16">
        <f>IF(C691="","",YEAR(C691))</f>
        <v>2024</v>
      </c>
      <c r="AD691" s="16" t="s">
        <v>86</v>
      </c>
      <c r="AE691" s="16" t="s">
        <v>66</v>
      </c>
      <c r="AF691" s="16" t="s">
        <v>296</v>
      </c>
    </row>
    <row r="692" spans="1:32" s="15" customFormat="1" x14ac:dyDescent="0.25">
      <c r="A692" s="16">
        <v>692</v>
      </c>
      <c r="B692" s="16" t="s">
        <v>2218</v>
      </c>
      <c r="C692" s="17">
        <v>45545.77083333333</v>
      </c>
      <c r="D692" s="17">
        <v>45549.77083333333</v>
      </c>
      <c r="E692" s="16" t="s">
        <v>2219</v>
      </c>
      <c r="F692" s="16" t="s">
        <v>153</v>
      </c>
      <c r="G692" s="16" t="s">
        <v>109</v>
      </c>
      <c r="H692" s="16" t="s">
        <v>71</v>
      </c>
      <c r="I692" s="16" t="s">
        <v>277</v>
      </c>
      <c r="J692" s="16" t="s">
        <v>278</v>
      </c>
      <c r="K692" s="16" t="s">
        <v>39</v>
      </c>
      <c r="L692" s="16" t="s">
        <v>62</v>
      </c>
      <c r="M692" s="16" t="s">
        <v>2220</v>
      </c>
      <c r="N692" s="16" t="s">
        <v>76</v>
      </c>
      <c r="O692" s="16">
        <v>4</v>
      </c>
      <c r="P692" s="18">
        <v>865.63</v>
      </c>
      <c r="Q692" s="19">
        <v>0</v>
      </c>
      <c r="R692" s="19">
        <v>0</v>
      </c>
      <c r="S692" s="18">
        <v>3462.52</v>
      </c>
      <c r="T692" s="18">
        <v>2797.29</v>
      </c>
      <c r="U692" s="18">
        <v>665.23</v>
      </c>
      <c r="V692" s="16" t="s">
        <v>178</v>
      </c>
      <c r="W692" s="16" t="s">
        <v>122</v>
      </c>
      <c r="X692" s="18">
        <f>IF(OR(O692="",P692="",R692=""),"",O692*P692*(1-R692))</f>
        <v>3462.52</v>
      </c>
      <c r="Y692" s="18">
        <f>IF(OR(X692="",T692=""),"",X692-T692)</f>
        <v>665.23</v>
      </c>
      <c r="Z692" s="19">
        <f>IFERROR(Y692/X692,"")</f>
        <v>0.1921</v>
      </c>
      <c r="AA692" s="16">
        <f>IF(OR(C692="",D692=""),"",D692-C692)</f>
        <v>4</v>
      </c>
      <c r="AB692" s="16">
        <f>IF(C692="","",MONTH(C692))</f>
        <v>9</v>
      </c>
      <c r="AC692" s="16">
        <f>IF(C692="","",YEAR(C692))</f>
        <v>2024</v>
      </c>
      <c r="AD692" s="16" t="s">
        <v>86</v>
      </c>
      <c r="AE692" s="16" t="s">
        <v>66</v>
      </c>
      <c r="AF692" s="16" t="s">
        <v>179</v>
      </c>
    </row>
    <row r="693" spans="1:32" x14ac:dyDescent="0.25">
      <c r="A693" s="1">
        <v>693</v>
      </c>
      <c r="B693" s="1" t="s">
        <v>2221</v>
      </c>
      <c r="C693" s="2">
        <v>45640.77083333333</v>
      </c>
      <c r="D693" s="2">
        <v>45641.77083333333</v>
      </c>
      <c r="E693" s="1" t="s">
        <v>2222</v>
      </c>
      <c r="F693" s="1" t="s">
        <v>163</v>
      </c>
      <c r="G693" s="1" t="s">
        <v>35</v>
      </c>
      <c r="H693" s="1" t="s">
        <v>52</v>
      </c>
      <c r="I693" s="1" t="s">
        <v>53</v>
      </c>
      <c r="J693" s="1" t="s">
        <v>54</v>
      </c>
      <c r="K693" s="1" t="s">
        <v>93</v>
      </c>
      <c r="L693" s="1" t="s">
        <v>99</v>
      </c>
      <c r="M693" s="1" t="s">
        <v>2223</v>
      </c>
      <c r="N693" s="1" t="s">
        <v>42</v>
      </c>
      <c r="O693" s="1">
        <v>6</v>
      </c>
      <c r="P693" s="3">
        <v>1538.1</v>
      </c>
      <c r="Q693" s="4">
        <v>0.05</v>
      </c>
      <c r="R693" s="4">
        <v>0.05</v>
      </c>
      <c r="S693" s="3">
        <v>8767.17</v>
      </c>
      <c r="T693" s="3">
        <v>5098.2</v>
      </c>
      <c r="U693" s="3">
        <v>3668.97</v>
      </c>
      <c r="V693" s="1" t="s">
        <v>43</v>
      </c>
      <c r="W693" s="1" t="s">
        <v>44</v>
      </c>
      <c r="X693" s="3">
        <f>IF(OR(O693="",P693="",R693=""),"",O693*P693*(1-R693))</f>
        <v>8767.17</v>
      </c>
      <c r="Y693" s="3">
        <f>IF(OR(X693="",T693=""),"",X693-T693)</f>
        <v>3668.97</v>
      </c>
      <c r="Z693" s="4">
        <f>IFERROR(Y693/X693,"")</f>
        <v>0.4185</v>
      </c>
      <c r="AA693" s="1">
        <f>IF(OR(C693="",D693=""),"",D693-C693)</f>
        <v>1</v>
      </c>
      <c r="AB693" s="1">
        <f>IF(C693="","",MONTH(C693))</f>
        <v>12</v>
      </c>
      <c r="AC693" s="1">
        <f>IF(C693="","",YEAR(C693))</f>
        <v>2024</v>
      </c>
      <c r="AD693" s="1" t="s">
        <v>45</v>
      </c>
      <c r="AE693" s="1" t="s">
        <v>46</v>
      </c>
      <c r="AF693" s="1" t="s">
        <v>47</v>
      </c>
    </row>
    <row r="694" spans="1:32" x14ac:dyDescent="0.25">
      <c r="A694" s="1">
        <v>694</v>
      </c>
      <c r="B694" s="1" t="s">
        <v>2224</v>
      </c>
      <c r="C694" s="2">
        <v>45934.77083333333</v>
      </c>
      <c r="D694" s="2">
        <v>45939.77083333333</v>
      </c>
      <c r="E694" s="1" t="s">
        <v>2225</v>
      </c>
      <c r="F694" s="1" t="s">
        <v>61</v>
      </c>
      <c r="G694" s="1" t="s">
        <v>109</v>
      </c>
      <c r="H694" s="1" t="s">
        <v>71</v>
      </c>
      <c r="I694" s="1" t="s">
        <v>201</v>
      </c>
      <c r="J694" s="1" t="s">
        <v>202</v>
      </c>
      <c r="K694" s="1" t="s">
        <v>55</v>
      </c>
      <c r="L694" s="1" t="s">
        <v>74</v>
      </c>
      <c r="M694" s="1" t="s">
        <v>2226</v>
      </c>
      <c r="N694" s="1" t="s">
        <v>42</v>
      </c>
      <c r="O694" s="1">
        <v>4</v>
      </c>
      <c r="P694" s="3">
        <v>2365.68</v>
      </c>
      <c r="Q694" s="4">
        <v>0.1</v>
      </c>
      <c r="R694" s="4">
        <v>0.1</v>
      </c>
      <c r="S694" s="3">
        <v>8516.45</v>
      </c>
      <c r="T694" s="3">
        <v>5903.81</v>
      </c>
      <c r="U694" s="3">
        <v>2612.64</v>
      </c>
      <c r="V694" s="1" t="s">
        <v>43</v>
      </c>
      <c r="W694" s="1" t="s">
        <v>44</v>
      </c>
      <c r="X694" s="3">
        <f>IF(OR(O694="",P694="",R694=""),"",O694*P694*(1-R694))</f>
        <v>8516.45</v>
      </c>
      <c r="Y694" s="3">
        <f>IF(OR(X694="",T694=""),"",X694-T694)</f>
        <v>2612.64</v>
      </c>
      <c r="Z694" s="4">
        <f>IFERROR(Y694/X694,"")</f>
        <v>0.3068</v>
      </c>
      <c r="AA694" s="1">
        <f>IF(OR(C694="",D694=""),"",D694-C694)</f>
        <v>5</v>
      </c>
      <c r="AB694" s="1">
        <f>IF(C694="","",MONTH(C694))</f>
        <v>10</v>
      </c>
      <c r="AC694" s="1">
        <f>IF(C694="","",YEAR(C694))</f>
        <v>2025</v>
      </c>
      <c r="AD694" s="1" t="s">
        <v>45</v>
      </c>
      <c r="AE694" s="1" t="s">
        <v>46</v>
      </c>
      <c r="AF694" s="1" t="s">
        <v>47</v>
      </c>
    </row>
    <row r="695" spans="1:32" x14ac:dyDescent="0.25">
      <c r="A695" s="1">
        <v>695</v>
      </c>
      <c r="B695" s="1" t="s">
        <v>2227</v>
      </c>
      <c r="C695" s="2">
        <v>45749.77083333333</v>
      </c>
      <c r="D695" s="2">
        <v>45757.77083333333</v>
      </c>
      <c r="E695" s="1" t="s">
        <v>2228</v>
      </c>
      <c r="F695" s="1" t="s">
        <v>70</v>
      </c>
      <c r="G695" s="1" t="s">
        <v>35</v>
      </c>
      <c r="H695" s="1" t="s">
        <v>71</v>
      </c>
      <c r="I695" s="1" t="s">
        <v>277</v>
      </c>
      <c r="J695" s="1" t="s">
        <v>278</v>
      </c>
      <c r="K695" s="1" t="s">
        <v>55</v>
      </c>
      <c r="L695" s="1" t="s">
        <v>182</v>
      </c>
      <c r="M695" s="1" t="s">
        <v>2229</v>
      </c>
      <c r="N695" s="1" t="s">
        <v>42</v>
      </c>
      <c r="O695" s="1">
        <v>3</v>
      </c>
      <c r="P695" s="3">
        <v>4149.77</v>
      </c>
      <c r="Q695" s="4">
        <v>0.05</v>
      </c>
      <c r="R695" s="4">
        <v>0.05</v>
      </c>
      <c r="S695" s="3">
        <v>11826.84</v>
      </c>
      <c r="T695" s="3">
        <v>8035.96</v>
      </c>
      <c r="U695" s="3">
        <v>3790.88</v>
      </c>
      <c r="V695" s="1" t="s">
        <v>43</v>
      </c>
      <c r="W695" s="1" t="s">
        <v>44</v>
      </c>
      <c r="X695" s="3">
        <f>IF(OR(O695="",P695="",R695=""),"",O695*P695*(1-R695))</f>
        <v>11826.84</v>
      </c>
      <c r="Y695" s="3">
        <f>IF(OR(X695="",T695=""),"",X695-T695)</f>
        <v>3790.88</v>
      </c>
      <c r="Z695" s="4">
        <f>IFERROR(Y695/X695,"")</f>
        <v>0.3205</v>
      </c>
      <c r="AA695" s="1">
        <f>IF(OR(C695="",D695=""),"",D695-C695)</f>
        <v>8</v>
      </c>
      <c r="AB695" s="1">
        <f>IF(C695="","",MONTH(C695))</f>
        <v>4</v>
      </c>
      <c r="AC695" s="1">
        <f>IF(C695="","",YEAR(C695))</f>
        <v>2025</v>
      </c>
      <c r="AD695" s="1" t="s">
        <v>45</v>
      </c>
      <c r="AE695" s="1" t="s">
        <v>46</v>
      </c>
      <c r="AF695" s="1" t="s">
        <v>47</v>
      </c>
    </row>
    <row r="696" spans="1:32" x14ac:dyDescent="0.25">
      <c r="A696" s="1">
        <v>696</v>
      </c>
      <c r="B696" s="1" t="s">
        <v>2230</v>
      </c>
      <c r="C696" s="2">
        <v>45869.77083333333</v>
      </c>
      <c r="D696" s="2">
        <v>45877.77083333333</v>
      </c>
      <c r="E696" s="1" t="s">
        <v>1192</v>
      </c>
      <c r="F696" s="1" t="s">
        <v>61</v>
      </c>
      <c r="G696" s="1" t="s">
        <v>35</v>
      </c>
      <c r="H696" s="1" t="s">
        <v>71</v>
      </c>
      <c r="I696" s="1" t="s">
        <v>103</v>
      </c>
      <c r="J696" s="1" t="s">
        <v>104</v>
      </c>
      <c r="K696" s="1" t="s">
        <v>39</v>
      </c>
      <c r="L696" s="1" t="s">
        <v>145</v>
      </c>
      <c r="M696" s="1" t="s">
        <v>2231</v>
      </c>
      <c r="N696" s="1" t="s">
        <v>64</v>
      </c>
      <c r="O696" s="1">
        <v>5</v>
      </c>
      <c r="P696" s="3">
        <v>2736.24</v>
      </c>
      <c r="Q696" s="4">
        <v>0.15</v>
      </c>
      <c r="R696" s="4">
        <v>0.15</v>
      </c>
      <c r="S696" s="3">
        <v>11629.02</v>
      </c>
      <c r="T696" s="3">
        <v>9627.21</v>
      </c>
      <c r="U696" s="3">
        <v>2001.81</v>
      </c>
      <c r="V696" s="1" t="s">
        <v>43</v>
      </c>
      <c r="W696" s="1" t="s">
        <v>44</v>
      </c>
      <c r="X696" s="3">
        <f>IF(OR(O696="",P696="",R696=""),"",O696*P696*(1-R696))</f>
        <v>11629.02</v>
      </c>
      <c r="Y696" s="3">
        <f>IF(OR(X696="",T696=""),"",X696-T696)</f>
        <v>2001.81</v>
      </c>
      <c r="Z696" s="4">
        <f>IFERROR(Y696/X696,"")</f>
        <v>0.1721</v>
      </c>
      <c r="AA696" s="1">
        <f>IF(OR(C696="",D696=""),"",D696-C696)</f>
        <v>8</v>
      </c>
      <c r="AB696" s="1">
        <f>IF(C696="","",MONTH(C696))</f>
        <v>8</v>
      </c>
      <c r="AC696" s="1">
        <f>IF(C696="","",YEAR(C696))</f>
        <v>2025</v>
      </c>
      <c r="AD696" s="1" t="s">
        <v>45</v>
      </c>
      <c r="AE696" s="1" t="s">
        <v>46</v>
      </c>
      <c r="AF696" s="1" t="s">
        <v>47</v>
      </c>
    </row>
    <row r="697" spans="1:32" x14ac:dyDescent="0.25">
      <c r="A697" s="1">
        <v>697</v>
      </c>
      <c r="B697" s="1" t="s">
        <v>2232</v>
      </c>
      <c r="C697" s="2">
        <v>45473.77083333333</v>
      </c>
      <c r="D697" s="2">
        <v>45473.77083333333</v>
      </c>
      <c r="E697" s="1" t="s">
        <v>2233</v>
      </c>
      <c r="F697" s="1" t="s">
        <v>149</v>
      </c>
      <c r="G697" s="1" t="s">
        <v>35</v>
      </c>
      <c r="H697" s="1" t="s">
        <v>80</v>
      </c>
      <c r="I697" s="1" t="s">
        <v>91</v>
      </c>
      <c r="J697" s="1" t="s">
        <v>92</v>
      </c>
      <c r="K697" s="1" t="s">
        <v>93</v>
      </c>
      <c r="L697" s="1" t="s">
        <v>305</v>
      </c>
      <c r="M697" s="1" t="s">
        <v>2234</v>
      </c>
      <c r="N697" s="1" t="s">
        <v>76</v>
      </c>
      <c r="O697" s="1">
        <v>4</v>
      </c>
      <c r="P697" s="3">
        <v>257.39</v>
      </c>
      <c r="Q697" s="4">
        <v>0</v>
      </c>
      <c r="R697" s="4">
        <v>0</v>
      </c>
      <c r="S697" s="3">
        <v>1029.56</v>
      </c>
      <c r="T697" s="3">
        <v>626.33</v>
      </c>
      <c r="U697" s="3">
        <v>403.23</v>
      </c>
      <c r="V697" s="1" t="s">
        <v>43</v>
      </c>
      <c r="W697" s="1" t="s">
        <v>44</v>
      </c>
      <c r="X697" s="3">
        <f>IF(OR(O697="",P697="",R697=""),"",O697*P697*(1-R697))</f>
        <v>1029.56</v>
      </c>
      <c r="Y697" s="3">
        <f>IF(OR(X697="",T697=""),"",X697-T697)</f>
        <v>403.23</v>
      </c>
      <c r="Z697" s="4">
        <f>IFERROR(Y697/X697,"")</f>
        <v>0.3917</v>
      </c>
      <c r="AA697" s="1">
        <f>IF(OR(C697="",D697=""),"",D697-C697)</f>
        <v>0</v>
      </c>
      <c r="AB697" s="1">
        <f>IF(C697="","",MONTH(C697))</f>
        <v>7</v>
      </c>
      <c r="AC697" s="1">
        <f>IF(C697="","",YEAR(C697))</f>
        <v>2024</v>
      </c>
      <c r="AD697" s="1" t="s">
        <v>45</v>
      </c>
      <c r="AE697" s="1" t="s">
        <v>46</v>
      </c>
      <c r="AF697" s="1" t="s">
        <v>47</v>
      </c>
    </row>
    <row r="698" spans="1:32" s="10" customFormat="1" x14ac:dyDescent="0.25">
      <c r="A698" s="11">
        <v>698</v>
      </c>
      <c r="B698" s="11" t="s">
        <v>2235</v>
      </c>
      <c r="C698" s="12">
        <v>45921.77083333333</v>
      </c>
      <c r="D698" s="12">
        <v>45924.77083333333</v>
      </c>
      <c r="E698" s="11" t="s">
        <v>2236</v>
      </c>
      <c r="F698" s="11" t="s">
        <v>61</v>
      </c>
      <c r="G698" s="11" t="s">
        <v>51</v>
      </c>
      <c r="H698" s="11" t="s">
        <v>71</v>
      </c>
      <c r="I698" s="11" t="s">
        <v>211</v>
      </c>
      <c r="J698" s="11" t="s">
        <v>212</v>
      </c>
      <c r="K698" s="11" t="s">
        <v>93</v>
      </c>
      <c r="L698" s="11" t="s">
        <v>196</v>
      </c>
      <c r="M698" s="11" t="s">
        <v>2237</v>
      </c>
      <c r="N698" s="11" t="s">
        <v>232</v>
      </c>
      <c r="O698" s="11">
        <v>4</v>
      </c>
      <c r="P698" s="13">
        <v>1178.84</v>
      </c>
      <c r="Q698" s="14">
        <v>0.25</v>
      </c>
      <c r="R698" s="14">
        <v>0.25</v>
      </c>
      <c r="S698" s="13">
        <v>3536.52</v>
      </c>
      <c r="T698" s="13">
        <v>2102.41</v>
      </c>
      <c r="U698" s="13">
        <v>1363.28</v>
      </c>
      <c r="V698" s="11" t="s">
        <v>43</v>
      </c>
      <c r="W698" s="11" t="s">
        <v>44</v>
      </c>
      <c r="X698" s="13">
        <f>IF(OR(O698="",P698="",R698=""),"",O698*P698*(1-R698))</f>
        <v>3536.52</v>
      </c>
      <c r="Y698" s="13">
        <f>IF(OR(X698="",T698=""),"",X698-T698)</f>
        <v>1434.11</v>
      </c>
      <c r="Z698" s="14">
        <f>IFERROR(Y698/X698,"")</f>
        <v>0.4055</v>
      </c>
      <c r="AA698" s="11">
        <f>IF(OR(C698="",D698=""),"",D698-C698)</f>
        <v>3</v>
      </c>
      <c r="AB698" s="11">
        <f>IF(C698="","",MONTH(C698))</f>
        <v>9</v>
      </c>
      <c r="AC698" s="11">
        <f>IF(C698="","",YEAR(C698))</f>
        <v>2025</v>
      </c>
      <c r="AD698" s="11" t="s">
        <v>65</v>
      </c>
      <c r="AE698" s="11" t="s">
        <v>66</v>
      </c>
      <c r="AF698" s="11" t="s">
        <v>233</v>
      </c>
    </row>
    <row r="699" spans="1:32" s="10" customFormat="1" x14ac:dyDescent="0.25">
      <c r="A699" s="11">
        <v>699</v>
      </c>
      <c r="B699" s="11" t="s">
        <v>2238</v>
      </c>
      <c r="C699" s="12">
        <v>45716.77083333333</v>
      </c>
      <c r="D699" s="12">
        <v>45722.77083333333</v>
      </c>
      <c r="E699" s="11" t="s">
        <v>2239</v>
      </c>
      <c r="F699" s="11" t="s">
        <v>70</v>
      </c>
      <c r="G699" s="11" t="s">
        <v>109</v>
      </c>
      <c r="H699" s="11" t="s">
        <v>71</v>
      </c>
      <c r="I699" s="11" t="s">
        <v>103</v>
      </c>
      <c r="J699" s="11" t="s">
        <v>104</v>
      </c>
      <c r="K699" s="11" t="s">
        <v>39</v>
      </c>
      <c r="L699" s="11" t="s">
        <v>110</v>
      </c>
      <c r="M699" s="11" t="s">
        <v>2240</v>
      </c>
      <c r="N699" s="11" t="s">
        <v>64</v>
      </c>
      <c r="O699" s="11">
        <v>7</v>
      </c>
      <c r="P699" s="13">
        <v>567.15</v>
      </c>
      <c r="Q699" s="14"/>
      <c r="R699" s="14">
        <v>0</v>
      </c>
      <c r="S699" s="13">
        <v>2977.54</v>
      </c>
      <c r="T699" s="13">
        <v>1849.3</v>
      </c>
      <c r="U699" s="13">
        <v>1128.24</v>
      </c>
      <c r="V699" s="11" t="s">
        <v>121</v>
      </c>
      <c r="W699" s="11" t="s">
        <v>122</v>
      </c>
      <c r="X699" s="13">
        <f>IF(OR(O699="",P699="",R699=""),"",O699*P699*(1-R699))</f>
        <v>3970.05</v>
      </c>
      <c r="Y699" s="13">
        <f>IF(OR(X699="",T699=""),"",X699-T699)</f>
        <v>2120.75</v>
      </c>
      <c r="Z699" s="14">
        <f>IFERROR(Y699/X699,"")</f>
        <v>0.5342</v>
      </c>
      <c r="AA699" s="11">
        <f>IF(OR(C699="",D699=""),"",D699-C699)</f>
        <v>6</v>
      </c>
      <c r="AB699" s="11">
        <f>IF(C699="","",MONTH(C699))</f>
        <v>3</v>
      </c>
      <c r="AC699" s="11">
        <f>IF(C699="","",YEAR(C699))</f>
        <v>2025</v>
      </c>
      <c r="AD699" s="11" t="s">
        <v>65</v>
      </c>
      <c r="AE699" s="11" t="s">
        <v>66</v>
      </c>
      <c r="AF699" s="11" t="s">
        <v>2241</v>
      </c>
    </row>
    <row r="700" spans="1:32" s="10" customFormat="1" x14ac:dyDescent="0.25">
      <c r="A700" s="11">
        <v>700</v>
      </c>
      <c r="B700" s="11" t="s">
        <v>2242</v>
      </c>
      <c r="C700" s="12">
        <v>45548.77083333333</v>
      </c>
      <c r="D700" s="12">
        <v>45548.77083333333</v>
      </c>
      <c r="E700" s="11" t="s">
        <v>2243</v>
      </c>
      <c r="F700" s="11" t="s">
        <v>50</v>
      </c>
      <c r="G700" s="11" t="s">
        <v>109</v>
      </c>
      <c r="H700" s="11" t="s">
        <v>36</v>
      </c>
      <c r="I700" s="11" t="s">
        <v>37</v>
      </c>
      <c r="J700" s="11" t="s">
        <v>38</v>
      </c>
      <c r="K700" s="11" t="s">
        <v>93</v>
      </c>
      <c r="L700" s="11" t="s">
        <v>305</v>
      </c>
      <c r="M700" s="11" t="s">
        <v>2244</v>
      </c>
      <c r="N700" s="11" t="s">
        <v>76</v>
      </c>
      <c r="O700" s="11">
        <v>8</v>
      </c>
      <c r="P700" s="13">
        <v>4081.66</v>
      </c>
      <c r="Q700" s="14">
        <v>0.15</v>
      </c>
      <c r="R700" s="14">
        <v>0.15</v>
      </c>
      <c r="S700" s="13">
        <v>28208.1</v>
      </c>
      <c r="T700" s="13">
        <v>23751.91</v>
      </c>
      <c r="U700" s="13">
        <v>4003.38</v>
      </c>
      <c r="V700" s="11" t="s">
        <v>43</v>
      </c>
      <c r="W700" s="11" t="s">
        <v>122</v>
      </c>
      <c r="X700" s="13">
        <f>IF(OR(O700="",P700="",R700=""),"",O700*P700*(1-R700))</f>
        <v>27755.29</v>
      </c>
      <c r="Y700" s="13">
        <f>IF(OR(X700="",T700=""),"",X700-T700)</f>
        <v>4003.38</v>
      </c>
      <c r="Z700" s="14">
        <f>IFERROR(Y700/X700,"")</f>
        <v>0.1442</v>
      </c>
      <c r="AA700" s="11">
        <f>IF(OR(C700="",D700=""),"",D700-C700)</f>
        <v>0</v>
      </c>
      <c r="AB700" s="11">
        <f>IF(C700="","",MONTH(C700))</f>
        <v>9</v>
      </c>
      <c r="AC700" s="11">
        <f>IF(C700="","",YEAR(C700))</f>
        <v>2024</v>
      </c>
      <c r="AD700" s="11" t="s">
        <v>65</v>
      </c>
      <c r="AE700" s="11" t="s">
        <v>66</v>
      </c>
      <c r="AF700" s="11" t="s">
        <v>2245</v>
      </c>
    </row>
    <row r="701" spans="1:32" x14ac:dyDescent="0.25">
      <c r="A701" s="1">
        <v>701</v>
      </c>
      <c r="B701" s="1" t="s">
        <v>2246</v>
      </c>
      <c r="C701" s="2">
        <v>45453.77083333333</v>
      </c>
      <c r="D701" s="2">
        <v>45453.77083333333</v>
      </c>
      <c r="E701" s="1" t="s">
        <v>2247</v>
      </c>
      <c r="F701" s="1" t="s">
        <v>70</v>
      </c>
      <c r="G701" s="1" t="s">
        <v>51</v>
      </c>
      <c r="H701" s="1" t="s">
        <v>71</v>
      </c>
      <c r="I701" s="1" t="s">
        <v>201</v>
      </c>
      <c r="J701" s="1" t="s">
        <v>202</v>
      </c>
      <c r="K701" s="1" t="s">
        <v>55</v>
      </c>
      <c r="L701" s="1" t="s">
        <v>182</v>
      </c>
      <c r="M701" s="1" t="s">
        <v>2248</v>
      </c>
      <c r="N701" s="1" t="s">
        <v>76</v>
      </c>
      <c r="O701" s="1">
        <v>9</v>
      </c>
      <c r="P701" s="3">
        <v>1400.11</v>
      </c>
      <c r="Q701" s="4">
        <v>0.25</v>
      </c>
      <c r="R701" s="4">
        <v>0.25</v>
      </c>
      <c r="S701" s="3">
        <v>9450.74</v>
      </c>
      <c r="T701" s="3">
        <v>7798.56</v>
      </c>
      <c r="U701" s="3">
        <v>1652.18</v>
      </c>
      <c r="V701" s="1" t="s">
        <v>43</v>
      </c>
      <c r="W701" s="1" t="s">
        <v>44</v>
      </c>
      <c r="X701" s="3">
        <f>IF(OR(O701="",P701="",R701=""),"",O701*P701*(1-R701))</f>
        <v>9450.74</v>
      </c>
      <c r="Y701" s="3">
        <f>IF(OR(X701="",T701=""),"",X701-T701)</f>
        <v>1652.18</v>
      </c>
      <c r="Z701" s="4">
        <f>IFERROR(Y701/X701,"")</f>
        <v>0.1748</v>
      </c>
      <c r="AA701" s="1">
        <f>IF(OR(C701="",D701=""),"",D701-C701)</f>
        <v>0</v>
      </c>
      <c r="AB701" s="1">
        <f>IF(C701="","",MONTH(C701))</f>
        <v>6</v>
      </c>
      <c r="AC701" s="1">
        <f>IF(C701="","",YEAR(C701))</f>
        <v>2024</v>
      </c>
      <c r="AD701" s="1" t="s">
        <v>45</v>
      </c>
      <c r="AE701" s="1" t="s">
        <v>46</v>
      </c>
      <c r="AF701" s="1" t="s">
        <v>47</v>
      </c>
    </row>
    <row r="702" spans="1:32" x14ac:dyDescent="0.25">
      <c r="A702" s="1">
        <v>702</v>
      </c>
      <c r="B702" s="1" t="s">
        <v>2249</v>
      </c>
      <c r="C702" s="2">
        <v>45552.77083333333</v>
      </c>
      <c r="D702" s="2">
        <v>45555.77083333333</v>
      </c>
      <c r="E702" s="1" t="s">
        <v>2250</v>
      </c>
      <c r="F702" s="1" t="s">
        <v>98</v>
      </c>
      <c r="G702" s="1" t="s">
        <v>109</v>
      </c>
      <c r="H702" s="1" t="s">
        <v>52</v>
      </c>
      <c r="I702" s="1" t="s">
        <v>118</v>
      </c>
      <c r="J702" s="1" t="s">
        <v>119</v>
      </c>
      <c r="K702" s="1" t="s">
        <v>93</v>
      </c>
      <c r="L702" s="1" t="s">
        <v>305</v>
      </c>
      <c r="M702" s="1" t="s">
        <v>2251</v>
      </c>
      <c r="N702" s="1" t="s">
        <v>76</v>
      </c>
      <c r="O702" s="1">
        <v>3</v>
      </c>
      <c r="P702" s="3">
        <v>3055.9</v>
      </c>
      <c r="Q702" s="4">
        <v>0.15</v>
      </c>
      <c r="R702" s="4">
        <v>0.15</v>
      </c>
      <c r="S702" s="3">
        <v>7792.55</v>
      </c>
      <c r="T702" s="3">
        <v>4691.73</v>
      </c>
      <c r="U702" s="3">
        <v>3100.82</v>
      </c>
      <c r="V702" s="1" t="s">
        <v>43</v>
      </c>
      <c r="W702" s="1" t="s">
        <v>44</v>
      </c>
      <c r="X702" s="3">
        <f>IF(OR(O702="",P702="",R702=""),"",O702*P702*(1-R702))</f>
        <v>7792.55</v>
      </c>
      <c r="Y702" s="3">
        <f>IF(OR(X702="",T702=""),"",X702-T702)</f>
        <v>3100.82</v>
      </c>
      <c r="Z702" s="4">
        <f>IFERROR(Y702/X702,"")</f>
        <v>0.3979</v>
      </c>
      <c r="AA702" s="1">
        <f>IF(OR(C702="",D702=""),"",D702-C702)</f>
        <v>3</v>
      </c>
      <c r="AB702" s="1">
        <f>IF(C702="","",MONTH(C702))</f>
        <v>9</v>
      </c>
      <c r="AC702" s="1">
        <f>IF(C702="","",YEAR(C702))</f>
        <v>2024</v>
      </c>
      <c r="AD702" s="1" t="s">
        <v>45</v>
      </c>
      <c r="AE702" s="1" t="s">
        <v>46</v>
      </c>
      <c r="AF702" s="1" t="s">
        <v>47</v>
      </c>
    </row>
    <row r="703" spans="1:32" s="15" customFormat="1" x14ac:dyDescent="0.25">
      <c r="A703" s="16">
        <v>703</v>
      </c>
      <c r="B703" s="16" t="s">
        <v>2252</v>
      </c>
      <c r="C703" s="17">
        <v>45411.77083333333</v>
      </c>
      <c r="D703" s="17">
        <v>45415.77083333333</v>
      </c>
      <c r="E703" s="16" t="s">
        <v>2253</v>
      </c>
      <c r="F703" s="16" t="s">
        <v>163</v>
      </c>
      <c r="G703" s="16" t="s">
        <v>51</v>
      </c>
      <c r="H703" s="16" t="s">
        <v>80</v>
      </c>
      <c r="I703" s="16" t="s">
        <v>206</v>
      </c>
      <c r="J703" s="16" t="s">
        <v>207</v>
      </c>
      <c r="K703" s="16" t="s">
        <v>39</v>
      </c>
      <c r="L703" s="16" t="s">
        <v>62</v>
      </c>
      <c r="M703" s="16" t="s">
        <v>2254</v>
      </c>
      <c r="N703" s="16" t="s">
        <v>58</v>
      </c>
      <c r="O703" s="16">
        <v>7</v>
      </c>
      <c r="P703" s="18">
        <v>1224.94</v>
      </c>
      <c r="Q703" s="19">
        <v>0</v>
      </c>
      <c r="R703" s="19">
        <v>0</v>
      </c>
      <c r="S703" s="18">
        <v>8574.58</v>
      </c>
      <c r="T703" s="18">
        <v>6685.81</v>
      </c>
      <c r="U703" s="18">
        <v>1888.77</v>
      </c>
      <c r="V703" s="16" t="s">
        <v>43</v>
      </c>
      <c r="W703" s="16" t="s">
        <v>122</v>
      </c>
      <c r="X703" s="18">
        <f>IF(OR(O703="",P703="",R703=""),"",O703*P703*(1-R703))</f>
        <v>8574.58</v>
      </c>
      <c r="Y703" s="18">
        <f>IF(OR(X703="",T703=""),"",X703-T703)</f>
        <v>1888.77</v>
      </c>
      <c r="Z703" s="19">
        <f>IFERROR(Y703/X703,"")</f>
        <v>0.2203</v>
      </c>
      <c r="AA703" s="16">
        <f>IF(OR(C703="",D703=""),"",D703-C703)</f>
        <v>4</v>
      </c>
      <c r="AB703" s="16">
        <f>IF(C703="","",MONTH(C703))</f>
        <v>4</v>
      </c>
      <c r="AC703" s="16">
        <f>IF(C703="","",YEAR(C703))</f>
        <v>2024</v>
      </c>
      <c r="AD703" s="16" t="s">
        <v>86</v>
      </c>
      <c r="AE703" s="16" t="s">
        <v>66</v>
      </c>
      <c r="AF703" s="16" t="s">
        <v>198</v>
      </c>
    </row>
    <row r="704" spans="1:32" x14ac:dyDescent="0.25">
      <c r="A704" s="1">
        <v>704</v>
      </c>
      <c r="B704" s="1" t="s">
        <v>2255</v>
      </c>
      <c r="C704" s="2">
        <v>45689.77083333333</v>
      </c>
      <c r="D704" s="2">
        <v>45693.77083333333</v>
      </c>
      <c r="E704" s="1" t="s">
        <v>2256</v>
      </c>
      <c r="F704" s="1" t="s">
        <v>34</v>
      </c>
      <c r="G704" s="1" t="s">
        <v>51</v>
      </c>
      <c r="H704" s="1" t="s">
        <v>80</v>
      </c>
      <c r="I704" s="1" t="s">
        <v>37</v>
      </c>
      <c r="J704" s="1" t="s">
        <v>129</v>
      </c>
      <c r="K704" s="1" t="s">
        <v>55</v>
      </c>
      <c r="L704" s="1" t="s">
        <v>56</v>
      </c>
      <c r="M704" s="1" t="s">
        <v>2257</v>
      </c>
      <c r="N704" s="1" t="s">
        <v>42</v>
      </c>
      <c r="O704" s="1">
        <v>3</v>
      </c>
      <c r="P704" s="3">
        <v>997.34</v>
      </c>
      <c r="Q704" s="4">
        <v>0.1</v>
      </c>
      <c r="R704" s="4">
        <v>0.1</v>
      </c>
      <c r="S704" s="3">
        <v>2692.82</v>
      </c>
      <c r="T704" s="3">
        <v>1820.08</v>
      </c>
      <c r="U704" s="3">
        <v>872.74</v>
      </c>
      <c r="V704" s="1" t="s">
        <v>43</v>
      </c>
      <c r="W704" s="1" t="s">
        <v>44</v>
      </c>
      <c r="X704" s="3">
        <f>IF(OR(O704="",P704="",R704=""),"",O704*P704*(1-R704))</f>
        <v>2692.82</v>
      </c>
      <c r="Y704" s="3">
        <f>IF(OR(X704="",T704=""),"",X704-T704)</f>
        <v>872.74</v>
      </c>
      <c r="Z704" s="4">
        <f>IFERROR(Y704/X704,"")</f>
        <v>0.3241</v>
      </c>
      <c r="AA704" s="1">
        <f>IF(OR(C704="",D704=""),"",D704-C704)</f>
        <v>4</v>
      </c>
      <c r="AB704" s="1">
        <f>IF(C704="","",MONTH(C704))</f>
        <v>2</v>
      </c>
      <c r="AC704" s="1">
        <f>IF(C704="","",YEAR(C704))</f>
        <v>2025</v>
      </c>
      <c r="AD704" s="1" t="s">
        <v>45</v>
      </c>
      <c r="AE704" s="1" t="s">
        <v>46</v>
      </c>
      <c r="AF704" s="1" t="s">
        <v>47</v>
      </c>
    </row>
    <row r="705" spans="1:32" x14ac:dyDescent="0.25">
      <c r="A705" s="1">
        <v>705</v>
      </c>
      <c r="B705" s="1" t="s">
        <v>2258</v>
      </c>
      <c r="C705" s="2">
        <v>45583.77083333333</v>
      </c>
      <c r="D705" s="2">
        <v>45584.77083333333</v>
      </c>
      <c r="E705" s="1" t="s">
        <v>2259</v>
      </c>
      <c r="F705" s="1" t="s">
        <v>108</v>
      </c>
      <c r="G705" s="1" t="s">
        <v>109</v>
      </c>
      <c r="H705" s="1" t="s">
        <v>36</v>
      </c>
      <c r="I705" s="1" t="s">
        <v>37</v>
      </c>
      <c r="J705" s="1" t="s">
        <v>38</v>
      </c>
      <c r="K705" s="1" t="s">
        <v>55</v>
      </c>
      <c r="L705" s="1" t="s">
        <v>56</v>
      </c>
      <c r="M705" s="1" t="s">
        <v>2260</v>
      </c>
      <c r="N705" s="1" t="s">
        <v>64</v>
      </c>
      <c r="O705" s="1">
        <v>1</v>
      </c>
      <c r="P705" s="3">
        <v>1150.03</v>
      </c>
      <c r="Q705" s="4">
        <v>0.1</v>
      </c>
      <c r="R705" s="4">
        <v>0.1</v>
      </c>
      <c r="S705" s="3">
        <v>1035.03</v>
      </c>
      <c r="T705" s="3">
        <v>854.35</v>
      </c>
      <c r="U705" s="3">
        <v>180.68</v>
      </c>
      <c r="V705" s="1" t="s">
        <v>43</v>
      </c>
      <c r="W705" s="1" t="s">
        <v>44</v>
      </c>
      <c r="X705" s="3">
        <f>IF(OR(O705="",P705="",R705=""),"",O705*P705*(1-R705))</f>
        <v>1035.03</v>
      </c>
      <c r="Y705" s="3">
        <f>IF(OR(X705="",T705=""),"",X705-T705)</f>
        <v>180.68</v>
      </c>
      <c r="Z705" s="4">
        <f>IFERROR(Y705/X705,"")</f>
        <v>0.1746</v>
      </c>
      <c r="AA705" s="1">
        <f>IF(OR(C705="",D705=""),"",D705-C705)</f>
        <v>1</v>
      </c>
      <c r="AB705" s="1">
        <f>IF(C705="","",MONTH(C705))</f>
        <v>10</v>
      </c>
      <c r="AC705" s="1">
        <f>IF(C705="","",YEAR(C705))</f>
        <v>2024</v>
      </c>
      <c r="AD705" s="1" t="s">
        <v>45</v>
      </c>
      <c r="AE705" s="1" t="s">
        <v>46</v>
      </c>
      <c r="AF705" s="1" t="s">
        <v>47</v>
      </c>
    </row>
    <row r="706" spans="1:32" s="15" customFormat="1" x14ac:dyDescent="0.25">
      <c r="A706" s="16">
        <v>706</v>
      </c>
      <c r="B706" s="16" t="s">
        <v>2261</v>
      </c>
      <c r="C706" s="17">
        <v>45363.77083333333</v>
      </c>
      <c r="D706" s="17">
        <v>45370.77083333333</v>
      </c>
      <c r="E706" s="16" t="s">
        <v>2262</v>
      </c>
      <c r="F706" s="16" t="s">
        <v>135</v>
      </c>
      <c r="G706" s="16" t="s">
        <v>114</v>
      </c>
      <c r="H706" s="16" t="s">
        <v>71</v>
      </c>
      <c r="I706" s="16" t="s">
        <v>277</v>
      </c>
      <c r="J706" s="16" t="s">
        <v>278</v>
      </c>
      <c r="K706" s="16" t="s">
        <v>55</v>
      </c>
      <c r="L706" s="16" t="s">
        <v>182</v>
      </c>
      <c r="M706" s="16" t="s">
        <v>2263</v>
      </c>
      <c r="N706" s="16" t="s">
        <v>232</v>
      </c>
      <c r="O706" s="16">
        <v>1</v>
      </c>
      <c r="P706" s="18">
        <v>2825.63</v>
      </c>
      <c r="Q706" s="19">
        <v>0.15</v>
      </c>
      <c r="R706" s="19">
        <v>0.15</v>
      </c>
      <c r="S706" s="18">
        <v>2401.79</v>
      </c>
      <c r="T706" s="18">
        <v>1820.34</v>
      </c>
      <c r="U706" s="18">
        <v>581.45</v>
      </c>
      <c r="V706" s="16" t="s">
        <v>43</v>
      </c>
      <c r="W706" s="16" t="s">
        <v>44</v>
      </c>
      <c r="X706" s="18">
        <f>IF(OR(O706="",P706="",R706=""),"",O706*P706*(1-R706))</f>
        <v>2401.79</v>
      </c>
      <c r="Y706" s="18">
        <f>IF(OR(X706="",T706=""),"",X706-T706)</f>
        <v>581.45</v>
      </c>
      <c r="Z706" s="19">
        <f>IFERROR(Y706/X706,"")</f>
        <v>0.2421</v>
      </c>
      <c r="AA706" s="16">
        <f>IF(OR(C706="",D706=""),"",D706-C706)</f>
        <v>7</v>
      </c>
      <c r="AB706" s="16">
        <f>IF(C706="","",MONTH(C706))</f>
        <v>3</v>
      </c>
      <c r="AC706" s="16">
        <f>IF(C706="","",YEAR(C706))</f>
        <v>2024</v>
      </c>
      <c r="AD706" s="16" t="s">
        <v>86</v>
      </c>
      <c r="AE706" s="16" t="s">
        <v>46</v>
      </c>
      <c r="AF706" s="16" t="s">
        <v>442</v>
      </c>
    </row>
    <row r="707" spans="1:32" x14ac:dyDescent="0.25">
      <c r="A707" s="1">
        <v>707</v>
      </c>
      <c r="B707" s="1" t="s">
        <v>2264</v>
      </c>
      <c r="C707" s="2">
        <v>45542.77083333333</v>
      </c>
      <c r="D707" s="2">
        <v>45548.77083333333</v>
      </c>
      <c r="E707" s="1" t="s">
        <v>2265</v>
      </c>
      <c r="F707" s="1" t="s">
        <v>163</v>
      </c>
      <c r="G707" s="1" t="s">
        <v>35</v>
      </c>
      <c r="H707" s="1" t="s">
        <v>36</v>
      </c>
      <c r="I707" s="1" t="s">
        <v>37</v>
      </c>
      <c r="J707" s="1" t="s">
        <v>38</v>
      </c>
      <c r="K707" s="1" t="s">
        <v>39</v>
      </c>
      <c r="L707" s="1" t="s">
        <v>176</v>
      </c>
      <c r="M707" s="1" t="s">
        <v>2266</v>
      </c>
      <c r="N707" s="1" t="s">
        <v>76</v>
      </c>
      <c r="O707" s="1">
        <v>5</v>
      </c>
      <c r="P707" s="3">
        <v>3371.75</v>
      </c>
      <c r="Q707" s="4">
        <v>0.05</v>
      </c>
      <c r="R707" s="4">
        <v>0.05</v>
      </c>
      <c r="S707" s="3">
        <v>16015.81</v>
      </c>
      <c r="T707" s="3">
        <v>11352.38</v>
      </c>
      <c r="U707" s="3">
        <v>4663.43</v>
      </c>
      <c r="V707" s="1" t="s">
        <v>43</v>
      </c>
      <c r="W707" s="1" t="s">
        <v>44</v>
      </c>
      <c r="X707" s="3">
        <f>IF(OR(O707="",P707="",R707=""),"",O707*P707*(1-R707))</f>
        <v>16015.81</v>
      </c>
      <c r="Y707" s="3">
        <f>IF(OR(X707="",T707=""),"",X707-T707)</f>
        <v>4663.43</v>
      </c>
      <c r="Z707" s="4">
        <f>IFERROR(Y707/X707,"")</f>
        <v>0.2912</v>
      </c>
      <c r="AA707" s="1">
        <f>IF(OR(C707="",D707=""),"",D707-C707)</f>
        <v>6</v>
      </c>
      <c r="AB707" s="1">
        <f>IF(C707="","",MONTH(C707))</f>
        <v>9</v>
      </c>
      <c r="AC707" s="1">
        <f>IF(C707="","",YEAR(C707))</f>
        <v>2024</v>
      </c>
      <c r="AD707" s="1" t="s">
        <v>45</v>
      </c>
      <c r="AE707" s="1" t="s">
        <v>46</v>
      </c>
      <c r="AF707" s="1" t="s">
        <v>47</v>
      </c>
    </row>
    <row r="708" spans="1:32" x14ac:dyDescent="0.25">
      <c r="A708" s="1">
        <v>708</v>
      </c>
      <c r="B708" s="1" t="s">
        <v>2267</v>
      </c>
      <c r="C708" s="2">
        <v>45466.77083333333</v>
      </c>
      <c r="D708" s="2">
        <v>45470.77083333333</v>
      </c>
      <c r="E708" s="1" t="s">
        <v>2268</v>
      </c>
      <c r="F708" s="1" t="s">
        <v>61</v>
      </c>
      <c r="G708" s="1" t="s">
        <v>51</v>
      </c>
      <c r="H708" s="1" t="s">
        <v>52</v>
      </c>
      <c r="I708" s="1" t="s">
        <v>53</v>
      </c>
      <c r="J708" s="1" t="s">
        <v>54</v>
      </c>
      <c r="K708" s="1" t="s">
        <v>39</v>
      </c>
      <c r="L708" s="1" t="s">
        <v>40</v>
      </c>
      <c r="M708" s="1" t="s">
        <v>2269</v>
      </c>
      <c r="N708" s="1" t="s">
        <v>58</v>
      </c>
      <c r="O708" s="1">
        <v>1</v>
      </c>
      <c r="P708" s="3">
        <v>2112.75</v>
      </c>
      <c r="Q708" s="4">
        <v>0.1</v>
      </c>
      <c r="R708" s="4">
        <v>0.1</v>
      </c>
      <c r="S708" s="3">
        <v>1901.48</v>
      </c>
      <c r="T708" s="3">
        <v>1354.28</v>
      </c>
      <c r="U708" s="3">
        <v>547.2</v>
      </c>
      <c r="V708" s="1" t="s">
        <v>43</v>
      </c>
      <c r="W708" s="1" t="s">
        <v>44</v>
      </c>
      <c r="X708" s="3">
        <f>IF(OR(O708="",P708="",R708=""),"",O708*P708*(1-R708))</f>
        <v>1901.48</v>
      </c>
      <c r="Y708" s="3">
        <f>IF(OR(X708="",T708=""),"",X708-T708)</f>
        <v>547.2</v>
      </c>
      <c r="Z708" s="4">
        <f>IFERROR(Y708/X708,"")</f>
        <v>0.2878</v>
      </c>
      <c r="AA708" s="1">
        <f>IF(OR(C708="",D708=""),"",D708-C708)</f>
        <v>4</v>
      </c>
      <c r="AB708" s="1">
        <f>IF(C708="","",MONTH(C708))</f>
        <v>6</v>
      </c>
      <c r="AC708" s="1">
        <f>IF(C708="","",YEAR(C708))</f>
        <v>2024</v>
      </c>
      <c r="AD708" s="1" t="s">
        <v>45</v>
      </c>
      <c r="AE708" s="1" t="s">
        <v>46</v>
      </c>
      <c r="AF708" s="1" t="s">
        <v>47</v>
      </c>
    </row>
    <row r="709" spans="1:32" s="10" customFormat="1" x14ac:dyDescent="0.25">
      <c r="A709" s="11">
        <v>709</v>
      </c>
      <c r="B709" s="11" t="s">
        <v>2270</v>
      </c>
      <c r="C709" s="12">
        <v>45831.77083333333</v>
      </c>
      <c r="D709" s="12">
        <v>45833.77083333333</v>
      </c>
      <c r="E709" s="11" t="s">
        <v>2271</v>
      </c>
      <c r="F709" s="11" t="s">
        <v>90</v>
      </c>
      <c r="G709" s="11" t="s">
        <v>35</v>
      </c>
      <c r="H709" s="11" t="s">
        <v>36</v>
      </c>
      <c r="I709" s="11" t="s">
        <v>37</v>
      </c>
      <c r="J709" s="11" t="s">
        <v>38</v>
      </c>
      <c r="K709" s="11" t="s">
        <v>93</v>
      </c>
      <c r="L709" s="11" t="s">
        <v>94</v>
      </c>
      <c r="M709" s="11" t="s">
        <v>2272</v>
      </c>
      <c r="N709" s="11" t="s">
        <v>58</v>
      </c>
      <c r="O709" s="11">
        <v>5</v>
      </c>
      <c r="P709" s="13">
        <v>3722.66</v>
      </c>
      <c r="Q709" s="14">
        <v>0.55</v>
      </c>
      <c r="R709" s="14">
        <v>0.55</v>
      </c>
      <c r="S709" s="13">
        <v>16751.97</v>
      </c>
      <c r="T709" s="13">
        <v>11678.32</v>
      </c>
      <c r="U709" s="13">
        <v>5073.65</v>
      </c>
      <c r="V709" s="11" t="s">
        <v>43</v>
      </c>
      <c r="W709" s="11" t="s">
        <v>44</v>
      </c>
      <c r="X709" s="13">
        <f>IF(OR(O709="",P709="",R709=""),"",O709*P709*(1-R709))</f>
        <v>8375.98</v>
      </c>
      <c r="Y709" s="13">
        <f>IF(OR(X709="",T709=""),"",X709-T709)</f>
        <v>-3302.34</v>
      </c>
      <c r="Z709" s="14">
        <f>IFERROR(Y709/X709,"")</f>
        <v>-0.3943</v>
      </c>
      <c r="AA709" s="11">
        <f>IF(OR(C709="",D709=""),"",D709-C709)</f>
        <v>2</v>
      </c>
      <c r="AB709" s="11">
        <f>IF(C709="","",MONTH(C709))</f>
        <v>6</v>
      </c>
      <c r="AC709" s="11">
        <f>IF(C709="","",YEAR(C709))</f>
        <v>2025</v>
      </c>
      <c r="AD709" s="11" t="s">
        <v>65</v>
      </c>
      <c r="AE709" s="11" t="s">
        <v>66</v>
      </c>
      <c r="AF709" s="11" t="s">
        <v>67</v>
      </c>
    </row>
    <row r="710" spans="1:32" x14ac:dyDescent="0.25">
      <c r="A710" s="1">
        <v>710</v>
      </c>
      <c r="B710" s="1" t="s">
        <v>2273</v>
      </c>
      <c r="C710" s="2">
        <v>45735.77083333333</v>
      </c>
      <c r="D710" s="2">
        <v>45741.77083333333</v>
      </c>
      <c r="E710" s="1" t="s">
        <v>2274</v>
      </c>
      <c r="F710" s="1" t="s">
        <v>153</v>
      </c>
      <c r="G710" s="1" t="s">
        <v>35</v>
      </c>
      <c r="H710" s="1" t="s">
        <v>52</v>
      </c>
      <c r="I710" s="1" t="s">
        <v>191</v>
      </c>
      <c r="J710" s="1" t="s">
        <v>192</v>
      </c>
      <c r="K710" s="1" t="s">
        <v>55</v>
      </c>
      <c r="L710" s="1" t="s">
        <v>182</v>
      </c>
      <c r="M710" s="1" t="s">
        <v>2275</v>
      </c>
      <c r="N710" s="1" t="s">
        <v>64</v>
      </c>
      <c r="O710" s="1">
        <v>4</v>
      </c>
      <c r="P710" s="3">
        <v>4357.66</v>
      </c>
      <c r="Q710" s="4">
        <v>0.05</v>
      </c>
      <c r="R710" s="4">
        <v>0.05</v>
      </c>
      <c r="S710" s="3">
        <v>16559.11</v>
      </c>
      <c r="T710" s="3">
        <v>13233.79</v>
      </c>
      <c r="U710" s="3">
        <v>3325.32</v>
      </c>
      <c r="V710" s="1" t="s">
        <v>43</v>
      </c>
      <c r="W710" s="1" t="s">
        <v>44</v>
      </c>
      <c r="X710" s="3">
        <f>IF(OR(O710="",P710="",R710=""),"",O710*P710*(1-R710))</f>
        <v>16559.11</v>
      </c>
      <c r="Y710" s="3">
        <f>IF(OR(X710="",T710=""),"",X710-T710)</f>
        <v>3325.32</v>
      </c>
      <c r="Z710" s="4">
        <f>IFERROR(Y710/X710,"")</f>
        <v>0.2008</v>
      </c>
      <c r="AA710" s="1">
        <f>IF(OR(C710="",D710=""),"",D710-C710)</f>
        <v>6</v>
      </c>
      <c r="AB710" s="1">
        <f>IF(C710="","",MONTH(C710))</f>
        <v>3</v>
      </c>
      <c r="AC710" s="1">
        <f>IF(C710="","",YEAR(C710))</f>
        <v>2025</v>
      </c>
      <c r="AD710" s="1" t="s">
        <v>45</v>
      </c>
      <c r="AE710" s="1" t="s">
        <v>46</v>
      </c>
      <c r="AF710" s="1" t="s">
        <v>47</v>
      </c>
    </row>
    <row r="711" spans="1:32" s="15" customFormat="1" x14ac:dyDescent="0.25">
      <c r="A711" s="16">
        <v>711</v>
      </c>
      <c r="B711" s="16" t="s">
        <v>2276</v>
      </c>
      <c r="C711" s="17">
        <v>45675.77083333333</v>
      </c>
      <c r="D711" s="17">
        <v>45679.77083333333</v>
      </c>
      <c r="E711" s="16" t="s">
        <v>2277</v>
      </c>
      <c r="F711" s="16" t="s">
        <v>294</v>
      </c>
      <c r="G711" s="16" t="s">
        <v>114</v>
      </c>
      <c r="H711" s="16" t="s">
        <v>36</v>
      </c>
      <c r="I711" s="16" t="s">
        <v>143</v>
      </c>
      <c r="J711" s="16" t="s">
        <v>144</v>
      </c>
      <c r="K711" s="16" t="s">
        <v>93</v>
      </c>
      <c r="L711" s="16" t="s">
        <v>196</v>
      </c>
      <c r="M711" s="16" t="s">
        <v>2278</v>
      </c>
      <c r="N711" s="16" t="s">
        <v>58</v>
      </c>
      <c r="O711" s="16">
        <v>7</v>
      </c>
      <c r="P711" s="18">
        <v>1363.04</v>
      </c>
      <c r="Q711" s="19">
        <v>0.15</v>
      </c>
      <c r="R711" s="19">
        <v>0.15</v>
      </c>
      <c r="S711" s="18">
        <v>8110.09</v>
      </c>
      <c r="T711" s="18">
        <v>6417.32</v>
      </c>
      <c r="U711" s="18">
        <v>1692.77</v>
      </c>
      <c r="V711" s="16" t="s">
        <v>43</v>
      </c>
      <c r="W711" s="16" t="s">
        <v>85</v>
      </c>
      <c r="X711" s="18">
        <f>IF(OR(O711="",P711="",R711=""),"",O711*P711*(1-R711))</f>
        <v>8110.09</v>
      </c>
      <c r="Y711" s="18">
        <f>IF(OR(X711="",T711=""),"",X711-T711)</f>
        <v>1692.77</v>
      </c>
      <c r="Z711" s="19">
        <f>IFERROR(Y711/X711,"")</f>
        <v>0.2087</v>
      </c>
      <c r="AA711" s="16">
        <f>IF(OR(C711="",D711=""),"",D711-C711)</f>
        <v>4</v>
      </c>
      <c r="AB711" s="16">
        <f>IF(C711="","",MONTH(C711))</f>
        <v>1</v>
      </c>
      <c r="AC711" s="16">
        <f>IF(C711="","",YEAR(C711))</f>
        <v>2025</v>
      </c>
      <c r="AD711" s="16" t="s">
        <v>86</v>
      </c>
      <c r="AE711" s="16" t="s">
        <v>66</v>
      </c>
      <c r="AF711" s="16" t="s">
        <v>87</v>
      </c>
    </row>
    <row r="712" spans="1:32" x14ac:dyDescent="0.25">
      <c r="A712" s="1">
        <v>712</v>
      </c>
      <c r="B712" s="1" t="s">
        <v>2279</v>
      </c>
      <c r="C712" s="2">
        <v>45484.77083333333</v>
      </c>
      <c r="D712" s="2">
        <v>45491.77083333333</v>
      </c>
      <c r="E712" s="1" t="s">
        <v>2280</v>
      </c>
      <c r="F712" s="1" t="s">
        <v>90</v>
      </c>
      <c r="G712" s="1" t="s">
        <v>109</v>
      </c>
      <c r="H712" s="1" t="s">
        <v>36</v>
      </c>
      <c r="I712" s="1" t="s">
        <v>143</v>
      </c>
      <c r="J712" s="1" t="s">
        <v>144</v>
      </c>
      <c r="K712" s="1" t="s">
        <v>39</v>
      </c>
      <c r="L712" s="1" t="s">
        <v>62</v>
      </c>
      <c r="M712" s="1" t="s">
        <v>2281</v>
      </c>
      <c r="N712" s="1" t="s">
        <v>42</v>
      </c>
      <c r="O712" s="1">
        <v>5</v>
      </c>
      <c r="P712" s="3">
        <v>1559.16</v>
      </c>
      <c r="Q712" s="4">
        <v>0.05</v>
      </c>
      <c r="R712" s="4">
        <v>0.05</v>
      </c>
      <c r="S712" s="3">
        <v>7406.01</v>
      </c>
      <c r="T712" s="3">
        <v>5941.74</v>
      </c>
      <c r="U712" s="3">
        <v>1464.27</v>
      </c>
      <c r="V712" s="1" t="s">
        <v>43</v>
      </c>
      <c r="W712" s="1" t="s">
        <v>44</v>
      </c>
      <c r="X712" s="3">
        <f>IF(OR(O712="",P712="",R712=""),"",O712*P712*(1-R712))</f>
        <v>7406.01</v>
      </c>
      <c r="Y712" s="3">
        <f>IF(OR(X712="",T712=""),"",X712-T712)</f>
        <v>1464.27</v>
      </c>
      <c r="Z712" s="4">
        <f>IFERROR(Y712/X712,"")</f>
        <v>0.1977</v>
      </c>
      <c r="AA712" s="1">
        <f>IF(OR(C712="",D712=""),"",D712-C712)</f>
        <v>7</v>
      </c>
      <c r="AB712" s="1">
        <f>IF(C712="","",MONTH(C712))</f>
        <v>7</v>
      </c>
      <c r="AC712" s="1">
        <f>IF(C712="","",YEAR(C712))</f>
        <v>2024</v>
      </c>
      <c r="AD712" s="1" t="s">
        <v>45</v>
      </c>
      <c r="AE712" s="1" t="s">
        <v>46</v>
      </c>
      <c r="AF712" s="1" t="s">
        <v>47</v>
      </c>
    </row>
    <row r="713" spans="1:32" s="15" customFormat="1" x14ac:dyDescent="0.25">
      <c r="A713" s="16">
        <v>713</v>
      </c>
      <c r="B713" s="16" t="s">
        <v>2282</v>
      </c>
      <c r="C713" s="17">
        <v>45689.77083333333</v>
      </c>
      <c r="D713" s="17">
        <v>45689.77083333333</v>
      </c>
      <c r="E713" s="16" t="s">
        <v>2283</v>
      </c>
      <c r="F713" s="16" t="s">
        <v>294</v>
      </c>
      <c r="G713" s="16" t="s">
        <v>109</v>
      </c>
      <c r="H713" s="16" t="s">
        <v>52</v>
      </c>
      <c r="I713" s="16" t="s">
        <v>118</v>
      </c>
      <c r="J713" s="16" t="s">
        <v>119</v>
      </c>
      <c r="K713" s="16" t="s">
        <v>93</v>
      </c>
      <c r="L713" s="16" t="s">
        <v>305</v>
      </c>
      <c r="M713" s="16" t="s">
        <v>2284</v>
      </c>
      <c r="N713" s="16" t="s">
        <v>64</v>
      </c>
      <c r="O713" s="16">
        <v>1</v>
      </c>
      <c r="P713" s="18">
        <v>4326.75</v>
      </c>
      <c r="Q713" s="19">
        <v>0.05</v>
      </c>
      <c r="R713" s="19">
        <v>0.05</v>
      </c>
      <c r="S713" s="18">
        <v>4110.41</v>
      </c>
      <c r="T713" s="18">
        <v>2394.14</v>
      </c>
      <c r="U713" s="18">
        <v>1716.27</v>
      </c>
      <c r="V713" s="16" t="s">
        <v>131</v>
      </c>
      <c r="W713" s="16" t="s">
        <v>122</v>
      </c>
      <c r="X713" s="18">
        <f>IF(OR(O713="",P713="",R713=""),"",O713*P713*(1-R713))</f>
        <v>4110.41</v>
      </c>
      <c r="Y713" s="18">
        <f>IF(OR(X713="",T713=""),"",X713-T713)</f>
        <v>1716.27</v>
      </c>
      <c r="Z713" s="19">
        <f>IFERROR(Y713/X713,"")</f>
        <v>0.4175</v>
      </c>
      <c r="AA713" s="16">
        <f>IF(OR(C713="",D713=""),"",D713-C713)</f>
        <v>0</v>
      </c>
      <c r="AB713" s="16">
        <f>IF(C713="","",MONTH(C713))</f>
        <v>2</v>
      </c>
      <c r="AC713" s="16">
        <f>IF(C713="","",YEAR(C713))</f>
        <v>2025</v>
      </c>
      <c r="AD713" s="16" t="s">
        <v>86</v>
      </c>
      <c r="AE713" s="16" t="s">
        <v>66</v>
      </c>
      <c r="AF713" s="16" t="s">
        <v>132</v>
      </c>
    </row>
    <row r="714" spans="1:32" x14ac:dyDescent="0.25">
      <c r="A714" s="1">
        <v>714</v>
      </c>
      <c r="B714" s="1" t="s">
        <v>2285</v>
      </c>
      <c r="C714" s="2">
        <v>45331.77083333333</v>
      </c>
      <c r="D714" s="2">
        <v>45339.77083333333</v>
      </c>
      <c r="E714" s="1" t="s">
        <v>2286</v>
      </c>
      <c r="F714" s="1" t="s">
        <v>61</v>
      </c>
      <c r="G714" s="1" t="s">
        <v>114</v>
      </c>
      <c r="H714" s="1" t="s">
        <v>80</v>
      </c>
      <c r="I714" s="1" t="s">
        <v>91</v>
      </c>
      <c r="J714" s="1" t="s">
        <v>92</v>
      </c>
      <c r="K714" s="1" t="s">
        <v>55</v>
      </c>
      <c r="L714" s="1" t="s">
        <v>83</v>
      </c>
      <c r="M714" s="1" t="s">
        <v>2287</v>
      </c>
      <c r="N714" s="1" t="s">
        <v>64</v>
      </c>
      <c r="O714" s="1">
        <v>7</v>
      </c>
      <c r="P714" s="3">
        <v>1382.86</v>
      </c>
      <c r="Q714" s="4">
        <v>0</v>
      </c>
      <c r="R714" s="4">
        <v>0</v>
      </c>
      <c r="S714" s="3">
        <v>9680.02</v>
      </c>
      <c r="T714" s="3">
        <v>6876.66</v>
      </c>
      <c r="U714" s="3">
        <v>2803.36</v>
      </c>
      <c r="V714" s="1" t="s">
        <v>43</v>
      </c>
      <c r="W714" s="1" t="s">
        <v>44</v>
      </c>
      <c r="X714" s="3">
        <f>IF(OR(O714="",P714="",R714=""),"",O714*P714*(1-R714))</f>
        <v>9680.02</v>
      </c>
      <c r="Y714" s="3">
        <f>IF(OR(X714="",T714=""),"",X714-T714)</f>
        <v>2803.36</v>
      </c>
      <c r="Z714" s="4">
        <f>IFERROR(Y714/X714,"")</f>
        <v>0.2896</v>
      </c>
      <c r="AA714" s="1">
        <f>IF(OR(C714="",D714=""),"",D714-C714)</f>
        <v>8</v>
      </c>
      <c r="AB714" s="1">
        <f>IF(C714="","",MONTH(C714))</f>
        <v>2</v>
      </c>
      <c r="AC714" s="1">
        <f>IF(C714="","",YEAR(C714))</f>
        <v>2024</v>
      </c>
      <c r="AD714" s="1" t="s">
        <v>45</v>
      </c>
      <c r="AE714" s="1" t="s">
        <v>46</v>
      </c>
      <c r="AF714" s="1" t="s">
        <v>47</v>
      </c>
    </row>
    <row r="715" spans="1:32" x14ac:dyDescent="0.25">
      <c r="A715" s="1">
        <v>715</v>
      </c>
      <c r="B715" s="1" t="s">
        <v>2288</v>
      </c>
      <c r="C715" s="2">
        <v>45813.77083333333</v>
      </c>
      <c r="D715" s="2">
        <v>45817.77083333333</v>
      </c>
      <c r="E715" s="1" t="s">
        <v>643</v>
      </c>
      <c r="F715" s="1" t="s">
        <v>50</v>
      </c>
      <c r="G715" s="1" t="s">
        <v>35</v>
      </c>
      <c r="H715" s="1" t="s">
        <v>80</v>
      </c>
      <c r="I715" s="1" t="s">
        <v>37</v>
      </c>
      <c r="J715" s="1" t="s">
        <v>129</v>
      </c>
      <c r="K715" s="1" t="s">
        <v>93</v>
      </c>
      <c r="L715" s="1" t="s">
        <v>305</v>
      </c>
      <c r="M715" s="1" t="s">
        <v>2289</v>
      </c>
      <c r="N715" s="1" t="s">
        <v>42</v>
      </c>
      <c r="O715" s="1">
        <v>1</v>
      </c>
      <c r="P715" s="3">
        <v>289.97</v>
      </c>
      <c r="Q715" s="4">
        <v>0.25</v>
      </c>
      <c r="R715" s="4">
        <v>0.25</v>
      </c>
      <c r="S715" s="3">
        <v>217.48</v>
      </c>
      <c r="T715" s="3">
        <v>132.13</v>
      </c>
      <c r="U715" s="3">
        <v>85.35</v>
      </c>
      <c r="V715" s="1" t="s">
        <v>43</v>
      </c>
      <c r="W715" s="1" t="s">
        <v>44</v>
      </c>
      <c r="X715" s="3">
        <f>IF(OR(O715="",P715="",R715=""),"",O715*P715*(1-R715))</f>
        <v>217.48</v>
      </c>
      <c r="Y715" s="3">
        <f>IF(OR(X715="",T715=""),"",X715-T715)</f>
        <v>85.35</v>
      </c>
      <c r="Z715" s="4">
        <f>IFERROR(Y715/X715,"")</f>
        <v>0.3924</v>
      </c>
      <c r="AA715" s="1">
        <f>IF(OR(C715="",D715=""),"",D715-C715)</f>
        <v>4</v>
      </c>
      <c r="AB715" s="1">
        <f>IF(C715="","",MONTH(C715))</f>
        <v>6</v>
      </c>
      <c r="AC715" s="1">
        <f>IF(C715="","",YEAR(C715))</f>
        <v>2025</v>
      </c>
      <c r="AD715" s="1" t="s">
        <v>45</v>
      </c>
      <c r="AE715" s="1" t="s">
        <v>46</v>
      </c>
      <c r="AF715" s="1" t="s">
        <v>47</v>
      </c>
    </row>
    <row r="716" spans="1:32" x14ac:dyDescent="0.25">
      <c r="A716" s="1">
        <v>716</v>
      </c>
      <c r="B716" s="1" t="s">
        <v>2290</v>
      </c>
      <c r="C716" s="2">
        <v>45737.77083333333</v>
      </c>
      <c r="D716" s="2">
        <v>45738.77083333333</v>
      </c>
      <c r="E716" s="1" t="s">
        <v>2291</v>
      </c>
      <c r="F716" s="1" t="s">
        <v>34</v>
      </c>
      <c r="G716" s="1" t="s">
        <v>114</v>
      </c>
      <c r="H716" s="1" t="s">
        <v>36</v>
      </c>
      <c r="I716" s="1" t="s">
        <v>384</v>
      </c>
      <c r="J716" s="1" t="s">
        <v>385</v>
      </c>
      <c r="K716" s="1" t="s">
        <v>93</v>
      </c>
      <c r="L716" s="1" t="s">
        <v>99</v>
      </c>
      <c r="M716" s="1" t="s">
        <v>2292</v>
      </c>
      <c r="N716" s="1" t="s">
        <v>76</v>
      </c>
      <c r="O716" s="1">
        <v>9</v>
      </c>
      <c r="P716" s="3">
        <v>2075.02</v>
      </c>
      <c r="Q716" s="4">
        <v>0</v>
      </c>
      <c r="R716" s="4">
        <v>0</v>
      </c>
      <c r="S716" s="3">
        <v>18675.18</v>
      </c>
      <c r="T716" s="3">
        <v>13974.7</v>
      </c>
      <c r="U716" s="3">
        <v>4700.48</v>
      </c>
      <c r="V716" s="1" t="s">
        <v>43</v>
      </c>
      <c r="W716" s="1" t="s">
        <v>44</v>
      </c>
      <c r="X716" s="3">
        <f>IF(OR(O716="",P716="",R716=""),"",O716*P716*(1-R716))</f>
        <v>18675.18</v>
      </c>
      <c r="Y716" s="3">
        <f>IF(OR(X716="",T716=""),"",X716-T716)</f>
        <v>4700.48</v>
      </c>
      <c r="Z716" s="4">
        <f>IFERROR(Y716/X716,"")</f>
        <v>0.2517</v>
      </c>
      <c r="AA716" s="1">
        <f>IF(OR(C716="",D716=""),"",D716-C716)</f>
        <v>1</v>
      </c>
      <c r="AB716" s="1">
        <f>IF(C716="","",MONTH(C716))</f>
        <v>3</v>
      </c>
      <c r="AC716" s="1">
        <f>IF(C716="","",YEAR(C716))</f>
        <v>2025</v>
      </c>
      <c r="AD716" s="1" t="s">
        <v>45</v>
      </c>
      <c r="AE716" s="1" t="s">
        <v>46</v>
      </c>
      <c r="AF716" s="1" t="s">
        <v>47</v>
      </c>
    </row>
    <row r="717" spans="1:32" s="15" customFormat="1" x14ac:dyDescent="0.25">
      <c r="A717" s="16">
        <v>717</v>
      </c>
      <c r="B717" s="16" t="s">
        <v>2293</v>
      </c>
      <c r="C717" s="17">
        <v>45890.77083333333</v>
      </c>
      <c r="D717" s="17">
        <v>45895.77083333333</v>
      </c>
      <c r="E717" s="16" t="s">
        <v>2294</v>
      </c>
      <c r="F717" s="16" t="s">
        <v>135</v>
      </c>
      <c r="G717" s="16" t="s">
        <v>35</v>
      </c>
      <c r="H717" s="16" t="s">
        <v>36</v>
      </c>
      <c r="I717" s="16" t="s">
        <v>266</v>
      </c>
      <c r="J717" s="16" t="s">
        <v>267</v>
      </c>
      <c r="K717" s="16" t="s">
        <v>55</v>
      </c>
      <c r="L717" s="16" t="s">
        <v>83</v>
      </c>
      <c r="M717" s="16" t="s">
        <v>2295</v>
      </c>
      <c r="N717" s="16" t="s">
        <v>42</v>
      </c>
      <c r="O717" s="16">
        <v>7</v>
      </c>
      <c r="P717" s="18">
        <v>2843.09</v>
      </c>
      <c r="Q717" s="19">
        <v>0</v>
      </c>
      <c r="R717" s="19">
        <v>0</v>
      </c>
      <c r="S717" s="18">
        <v>19901.63</v>
      </c>
      <c r="T717" s="18">
        <v>15492.03</v>
      </c>
      <c r="U717" s="18">
        <v>4409.6</v>
      </c>
      <c r="V717" s="16" t="s">
        <v>121</v>
      </c>
      <c r="W717" s="16" t="s">
        <v>85</v>
      </c>
      <c r="X717" s="18">
        <f>IF(OR(O717="",P717="",R717=""),"",O717*P717*(1-R717))</f>
        <v>19901.63</v>
      </c>
      <c r="Y717" s="18">
        <f>IF(OR(X717="",T717=""),"",X717-T717)</f>
        <v>4409.6</v>
      </c>
      <c r="Z717" s="19">
        <f>IFERROR(Y717/X717,"")</f>
        <v>0.2216</v>
      </c>
      <c r="AA717" s="16">
        <f>IF(OR(C717="",D717=""),"",D717-C717)</f>
        <v>5</v>
      </c>
      <c r="AB717" s="16">
        <f>IF(C717="","",MONTH(C717))</f>
        <v>8</v>
      </c>
      <c r="AC717" s="16">
        <f>IF(C717="","",YEAR(C717))</f>
        <v>2025</v>
      </c>
      <c r="AD717" s="16" t="s">
        <v>86</v>
      </c>
      <c r="AE717" s="16" t="s">
        <v>66</v>
      </c>
      <c r="AF717" s="16" t="s">
        <v>160</v>
      </c>
    </row>
    <row r="718" spans="1:32" x14ac:dyDescent="0.25">
      <c r="A718" s="1">
        <v>718</v>
      </c>
      <c r="B718" s="1" t="s">
        <v>2296</v>
      </c>
      <c r="C718" s="2">
        <v>45894.77083333333</v>
      </c>
      <c r="D718" s="2">
        <v>45899.77083333333</v>
      </c>
      <c r="E718" s="1" t="s">
        <v>2297</v>
      </c>
      <c r="F718" s="1" t="s">
        <v>186</v>
      </c>
      <c r="G718" s="1" t="s">
        <v>51</v>
      </c>
      <c r="H718" s="1" t="s">
        <v>36</v>
      </c>
      <c r="I718" s="1" t="s">
        <v>266</v>
      </c>
      <c r="J718" s="1" t="s">
        <v>267</v>
      </c>
      <c r="K718" s="1" t="s">
        <v>93</v>
      </c>
      <c r="L718" s="1" t="s">
        <v>196</v>
      </c>
      <c r="M718" s="1" t="s">
        <v>2298</v>
      </c>
      <c r="N718" s="1" t="s">
        <v>64</v>
      </c>
      <c r="O718" s="1">
        <v>1</v>
      </c>
      <c r="P718" s="3">
        <v>3388.02</v>
      </c>
      <c r="Q718" s="4">
        <v>0.15</v>
      </c>
      <c r="R718" s="4">
        <v>0.15</v>
      </c>
      <c r="S718" s="3">
        <v>2879.82</v>
      </c>
      <c r="T718" s="3">
        <v>1824.88</v>
      </c>
      <c r="U718" s="3">
        <v>1054.94</v>
      </c>
      <c r="V718" s="1" t="s">
        <v>43</v>
      </c>
      <c r="W718" s="1" t="s">
        <v>44</v>
      </c>
      <c r="X718" s="3">
        <f>IF(OR(O718="",P718="",R718=""),"",O718*P718*(1-R718))</f>
        <v>2879.82</v>
      </c>
      <c r="Y718" s="3">
        <f>IF(OR(X718="",T718=""),"",X718-T718)</f>
        <v>1054.94</v>
      </c>
      <c r="Z718" s="4">
        <f>IFERROR(Y718/X718,"")</f>
        <v>0.3663</v>
      </c>
      <c r="AA718" s="1">
        <f>IF(OR(C718="",D718=""),"",D718-C718)</f>
        <v>5</v>
      </c>
      <c r="AB718" s="1">
        <f>IF(C718="","",MONTH(C718))</f>
        <v>8</v>
      </c>
      <c r="AC718" s="1">
        <f>IF(C718="","",YEAR(C718))</f>
        <v>2025</v>
      </c>
      <c r="AD718" s="1" t="s">
        <v>45</v>
      </c>
      <c r="AE718" s="1" t="s">
        <v>46</v>
      </c>
      <c r="AF718" s="1" t="s">
        <v>47</v>
      </c>
    </row>
    <row r="719" spans="1:32" s="15" customFormat="1" x14ac:dyDescent="0.25">
      <c r="A719" s="16">
        <v>719</v>
      </c>
      <c r="B719" s="16" t="s">
        <v>2299</v>
      </c>
      <c r="C719" s="17">
        <v>45941.77083333333</v>
      </c>
      <c r="D719" s="17">
        <v>45944.77083333333</v>
      </c>
      <c r="E719" s="16" t="s">
        <v>2300</v>
      </c>
      <c r="F719" s="16" t="s">
        <v>294</v>
      </c>
      <c r="G719" s="16" t="s">
        <v>51</v>
      </c>
      <c r="H719" s="16" t="s">
        <v>36</v>
      </c>
      <c r="I719" s="16" t="s">
        <v>266</v>
      </c>
      <c r="J719" s="16" t="s">
        <v>267</v>
      </c>
      <c r="K719" s="16" t="s">
        <v>93</v>
      </c>
      <c r="L719" s="16" t="s">
        <v>305</v>
      </c>
      <c r="M719" s="16" t="s">
        <v>2301</v>
      </c>
      <c r="N719" s="16" t="s">
        <v>76</v>
      </c>
      <c r="O719" s="16">
        <v>9</v>
      </c>
      <c r="P719" s="18">
        <v>2598.92</v>
      </c>
      <c r="Q719" s="19">
        <v>0.2</v>
      </c>
      <c r="R719" s="19">
        <v>0.2</v>
      </c>
      <c r="S719" s="18">
        <v>18712.22</v>
      </c>
      <c r="T719" s="18">
        <v>11852.22</v>
      </c>
      <c r="U719" s="18">
        <v>6860</v>
      </c>
      <c r="V719" s="16" t="s">
        <v>131</v>
      </c>
      <c r="W719" s="16" t="s">
        <v>85</v>
      </c>
      <c r="X719" s="18">
        <f>IF(OR(O719="",P719="",R719=""),"",O719*P719*(1-R719))</f>
        <v>18712.22</v>
      </c>
      <c r="Y719" s="18">
        <f>IF(OR(X719="",T719=""),"",X719-T719)</f>
        <v>6860</v>
      </c>
      <c r="Z719" s="19">
        <f>IFERROR(Y719/X719,"")</f>
        <v>0.3666</v>
      </c>
      <c r="AA719" s="16">
        <f>IF(OR(C719="",D719=""),"",D719-C719)</f>
        <v>3</v>
      </c>
      <c r="AB719" s="16">
        <f>IF(C719="","",MONTH(C719))</f>
        <v>10</v>
      </c>
      <c r="AC719" s="16">
        <f>IF(C719="","",YEAR(C719))</f>
        <v>2025</v>
      </c>
      <c r="AD719" s="16" t="s">
        <v>86</v>
      </c>
      <c r="AE719" s="16" t="s">
        <v>66</v>
      </c>
      <c r="AF719" s="16" t="s">
        <v>255</v>
      </c>
    </row>
    <row r="720" spans="1:32" x14ac:dyDescent="0.25">
      <c r="A720" s="1">
        <v>720</v>
      </c>
      <c r="B720" s="1" t="s">
        <v>2302</v>
      </c>
      <c r="C720" s="2">
        <v>45540.77083333333</v>
      </c>
      <c r="D720" s="2">
        <v>45543.77083333333</v>
      </c>
      <c r="E720" s="1" t="s">
        <v>2303</v>
      </c>
      <c r="F720" s="1" t="s">
        <v>50</v>
      </c>
      <c r="G720" s="1" t="s">
        <v>35</v>
      </c>
      <c r="H720" s="1" t="s">
        <v>80</v>
      </c>
      <c r="I720" s="1" t="s">
        <v>81</v>
      </c>
      <c r="J720" s="1" t="s">
        <v>82</v>
      </c>
      <c r="K720" s="1" t="s">
        <v>39</v>
      </c>
      <c r="L720" s="1" t="s">
        <v>62</v>
      </c>
      <c r="M720" s="1" t="s">
        <v>2304</v>
      </c>
      <c r="N720" s="1" t="s">
        <v>58</v>
      </c>
      <c r="O720" s="1">
        <v>3</v>
      </c>
      <c r="P720" s="3">
        <v>1972.27</v>
      </c>
      <c r="Q720" s="4">
        <v>0.2</v>
      </c>
      <c r="R720" s="4">
        <v>0.2</v>
      </c>
      <c r="S720" s="3">
        <v>4733.45</v>
      </c>
      <c r="T720" s="3">
        <v>3672.32</v>
      </c>
      <c r="U720" s="3">
        <v>1061.13</v>
      </c>
      <c r="V720" s="1" t="s">
        <v>43</v>
      </c>
      <c r="W720" s="1" t="s">
        <v>44</v>
      </c>
      <c r="X720" s="3">
        <f>IF(OR(O720="",P720="",R720=""),"",O720*P720*(1-R720))</f>
        <v>4733.45</v>
      </c>
      <c r="Y720" s="3">
        <f>IF(OR(X720="",T720=""),"",X720-T720)</f>
        <v>1061.13</v>
      </c>
      <c r="Z720" s="4">
        <f>IFERROR(Y720/X720,"")</f>
        <v>0.2242</v>
      </c>
      <c r="AA720" s="1">
        <f>IF(OR(C720="",D720=""),"",D720-C720)</f>
        <v>3</v>
      </c>
      <c r="AB720" s="1">
        <f>IF(C720="","",MONTH(C720))</f>
        <v>9</v>
      </c>
      <c r="AC720" s="1">
        <f>IF(C720="","",YEAR(C720))</f>
        <v>2024</v>
      </c>
      <c r="AD720" s="1" t="s">
        <v>45</v>
      </c>
      <c r="AE720" s="1" t="s">
        <v>46</v>
      </c>
      <c r="AF720" s="1" t="s">
        <v>47</v>
      </c>
    </row>
    <row r="721" spans="1:32" x14ac:dyDescent="0.25">
      <c r="A721" s="1">
        <v>721</v>
      </c>
      <c r="B721" s="1" t="s">
        <v>2305</v>
      </c>
      <c r="C721" s="2">
        <v>45907.77083333333</v>
      </c>
      <c r="D721" s="2">
        <v>45908.77083333333</v>
      </c>
      <c r="E721" s="1" t="s">
        <v>167</v>
      </c>
      <c r="F721" s="1" t="s">
        <v>294</v>
      </c>
      <c r="G721" s="1" t="s">
        <v>109</v>
      </c>
      <c r="H721" s="1" t="s">
        <v>80</v>
      </c>
      <c r="I721" s="1" t="s">
        <v>206</v>
      </c>
      <c r="J721" s="1" t="s">
        <v>207</v>
      </c>
      <c r="K721" s="1" t="s">
        <v>39</v>
      </c>
      <c r="L721" s="1" t="s">
        <v>62</v>
      </c>
      <c r="M721" s="1" t="s">
        <v>2306</v>
      </c>
      <c r="N721" s="1" t="s">
        <v>58</v>
      </c>
      <c r="O721" s="1">
        <v>2</v>
      </c>
      <c r="P721" s="3">
        <v>2372.41</v>
      </c>
      <c r="Q721" s="4">
        <v>0.2</v>
      </c>
      <c r="R721" s="4">
        <v>0.2</v>
      </c>
      <c r="S721" s="3">
        <v>3795.86</v>
      </c>
      <c r="T721" s="3">
        <v>2264.92</v>
      </c>
      <c r="U721" s="3">
        <v>1530.94</v>
      </c>
      <c r="V721" s="1" t="s">
        <v>43</v>
      </c>
      <c r="W721" s="1" t="s">
        <v>44</v>
      </c>
      <c r="X721" s="3">
        <f>IF(OR(O721="",P721="",R721=""),"",O721*P721*(1-R721))</f>
        <v>3795.86</v>
      </c>
      <c r="Y721" s="3">
        <f>IF(OR(X721="",T721=""),"",X721-T721)</f>
        <v>1530.94</v>
      </c>
      <c r="Z721" s="4">
        <f>IFERROR(Y721/X721,"")</f>
        <v>0.4033</v>
      </c>
      <c r="AA721" s="1">
        <f>IF(OR(C721="",D721=""),"",D721-C721)</f>
        <v>1</v>
      </c>
      <c r="AB721" s="1">
        <f>IF(C721="","",MONTH(C721))</f>
        <v>9</v>
      </c>
      <c r="AC721" s="1">
        <f>IF(C721="","",YEAR(C721))</f>
        <v>2025</v>
      </c>
      <c r="AD721" s="1" t="s">
        <v>45</v>
      </c>
      <c r="AE721" s="1" t="s">
        <v>46</v>
      </c>
      <c r="AF721" s="1" t="s">
        <v>47</v>
      </c>
    </row>
    <row r="722" spans="1:32" x14ac:dyDescent="0.25">
      <c r="A722" s="1">
        <v>722</v>
      </c>
      <c r="B722" s="1" t="s">
        <v>2307</v>
      </c>
      <c r="C722" s="2">
        <v>45488.77083333333</v>
      </c>
      <c r="D722" s="2">
        <v>45488.77083333333</v>
      </c>
      <c r="E722" s="1" t="s">
        <v>2308</v>
      </c>
      <c r="F722" s="1" t="s">
        <v>108</v>
      </c>
      <c r="G722" s="1" t="s">
        <v>114</v>
      </c>
      <c r="H722" s="1" t="s">
        <v>80</v>
      </c>
      <c r="I722" s="1" t="s">
        <v>91</v>
      </c>
      <c r="J722" s="1" t="s">
        <v>92</v>
      </c>
      <c r="K722" s="1" t="s">
        <v>93</v>
      </c>
      <c r="L722" s="1" t="s">
        <v>99</v>
      </c>
      <c r="M722" s="1" t="s">
        <v>2309</v>
      </c>
      <c r="N722" s="1" t="s">
        <v>58</v>
      </c>
      <c r="O722" s="1">
        <v>4</v>
      </c>
      <c r="P722" s="3">
        <v>4479.92</v>
      </c>
      <c r="Q722" s="4">
        <v>0.15</v>
      </c>
      <c r="R722" s="4">
        <v>0.15</v>
      </c>
      <c r="S722" s="3">
        <v>15231.73</v>
      </c>
      <c r="T722" s="3">
        <v>12451.46</v>
      </c>
      <c r="U722" s="3">
        <v>2780.27</v>
      </c>
      <c r="V722" s="1" t="s">
        <v>43</v>
      </c>
      <c r="W722" s="1" t="s">
        <v>44</v>
      </c>
      <c r="X722" s="3">
        <f>IF(OR(O722="",P722="",R722=""),"",O722*P722*(1-R722))</f>
        <v>15231.73</v>
      </c>
      <c r="Y722" s="3">
        <f>IF(OR(X722="",T722=""),"",X722-T722)</f>
        <v>2780.27</v>
      </c>
      <c r="Z722" s="4">
        <f>IFERROR(Y722/X722,"")</f>
        <v>0.1825</v>
      </c>
      <c r="AA722" s="1">
        <f>IF(OR(C722="",D722=""),"",D722-C722)</f>
        <v>0</v>
      </c>
      <c r="AB722" s="1">
        <f>IF(C722="","",MONTH(C722))</f>
        <v>7</v>
      </c>
      <c r="AC722" s="1">
        <f>IF(C722="","",YEAR(C722))</f>
        <v>2024</v>
      </c>
      <c r="AD722" s="1" t="s">
        <v>45</v>
      </c>
      <c r="AE722" s="1" t="s">
        <v>46</v>
      </c>
      <c r="AF722" s="1" t="s">
        <v>47</v>
      </c>
    </row>
    <row r="723" spans="1:32" x14ac:dyDescent="0.25">
      <c r="A723" s="1">
        <v>723</v>
      </c>
      <c r="B723" s="1" t="s">
        <v>2310</v>
      </c>
      <c r="C723" s="2">
        <v>45826.77083333333</v>
      </c>
      <c r="D723" s="2">
        <v>45830.77083333333</v>
      </c>
      <c r="E723" s="1" t="s">
        <v>2311</v>
      </c>
      <c r="F723" s="1" t="s">
        <v>153</v>
      </c>
      <c r="G723" s="1" t="s">
        <v>35</v>
      </c>
      <c r="H723" s="1" t="s">
        <v>71</v>
      </c>
      <c r="I723" s="1" t="s">
        <v>201</v>
      </c>
      <c r="J723" s="1" t="s">
        <v>202</v>
      </c>
      <c r="K723" s="1" t="s">
        <v>93</v>
      </c>
      <c r="L723" s="1" t="s">
        <v>99</v>
      </c>
      <c r="M723" s="1" t="s">
        <v>2312</v>
      </c>
      <c r="N723" s="1" t="s">
        <v>64</v>
      </c>
      <c r="O723" s="1">
        <v>5</v>
      </c>
      <c r="P723" s="3">
        <v>2729.95</v>
      </c>
      <c r="Q723" s="4">
        <v>0</v>
      </c>
      <c r="R723" s="4">
        <v>0</v>
      </c>
      <c r="S723" s="3">
        <v>13649.75</v>
      </c>
      <c r="T723" s="3">
        <v>10288.03</v>
      </c>
      <c r="U723" s="3">
        <v>3361.72</v>
      </c>
      <c r="V723" s="1" t="s">
        <v>43</v>
      </c>
      <c r="W723" s="1" t="s">
        <v>44</v>
      </c>
      <c r="X723" s="3">
        <f>IF(OR(O723="",P723="",R723=""),"",O723*P723*(1-R723))</f>
        <v>13649.75</v>
      </c>
      <c r="Y723" s="3">
        <f>IF(OR(X723="",T723=""),"",X723-T723)</f>
        <v>3361.72</v>
      </c>
      <c r="Z723" s="4">
        <f>IFERROR(Y723/X723,"")</f>
        <v>0.2463</v>
      </c>
      <c r="AA723" s="1">
        <f>IF(OR(C723="",D723=""),"",D723-C723)</f>
        <v>4</v>
      </c>
      <c r="AB723" s="1">
        <f>IF(C723="","",MONTH(C723))</f>
        <v>6</v>
      </c>
      <c r="AC723" s="1">
        <f>IF(C723="","",YEAR(C723))</f>
        <v>2025</v>
      </c>
      <c r="AD723" s="1" t="s">
        <v>45</v>
      </c>
      <c r="AE723" s="1" t="s">
        <v>46</v>
      </c>
      <c r="AF723" s="1" t="s">
        <v>47</v>
      </c>
    </row>
    <row r="724" spans="1:32" s="15" customFormat="1" x14ac:dyDescent="0.25">
      <c r="A724" s="16">
        <v>724</v>
      </c>
      <c r="B724" s="16" t="s">
        <v>2313</v>
      </c>
      <c r="C724" s="17">
        <v>45571.77083333333</v>
      </c>
      <c r="D724" s="17">
        <v>45574.77083333333</v>
      </c>
      <c r="E724" s="16" t="s">
        <v>2314</v>
      </c>
      <c r="F724" s="16" t="s">
        <v>90</v>
      </c>
      <c r="G724" s="16" t="s">
        <v>35</v>
      </c>
      <c r="H724" s="16" t="s">
        <v>52</v>
      </c>
      <c r="I724" s="16" t="s">
        <v>118</v>
      </c>
      <c r="J724" s="16" t="s">
        <v>119</v>
      </c>
      <c r="K724" s="16" t="s">
        <v>55</v>
      </c>
      <c r="L724" s="16" t="s">
        <v>83</v>
      </c>
      <c r="M724" s="16" t="s">
        <v>2315</v>
      </c>
      <c r="N724" s="16" t="s">
        <v>42</v>
      </c>
      <c r="O724" s="16">
        <v>9</v>
      </c>
      <c r="P724" s="18">
        <v>481.51</v>
      </c>
      <c r="Q724" s="19"/>
      <c r="R724" s="19">
        <v>0</v>
      </c>
      <c r="S724" s="18">
        <v>4333.59</v>
      </c>
      <c r="T724" s="18">
        <v>2533.59</v>
      </c>
      <c r="U724" s="18">
        <v>1800</v>
      </c>
      <c r="V724" s="16" t="s">
        <v>121</v>
      </c>
      <c r="W724" s="16" t="s">
        <v>85</v>
      </c>
      <c r="X724" s="18">
        <f>IF(OR(O724="",P724="",R724=""),"",O724*P724*(1-R724))</f>
        <v>4333.59</v>
      </c>
      <c r="Y724" s="18">
        <f>IF(OR(X724="",T724=""),"",X724-T724)</f>
        <v>1800</v>
      </c>
      <c r="Z724" s="19">
        <f>IFERROR(Y724/X724,"")</f>
        <v>0.4154</v>
      </c>
      <c r="AA724" s="16">
        <f>IF(OR(C724="",D724=""),"",D724-C724)</f>
        <v>3</v>
      </c>
      <c r="AB724" s="16">
        <f>IF(C724="","",MONTH(C724))</f>
        <v>10</v>
      </c>
      <c r="AC724" s="16">
        <f>IF(C724="","",YEAR(C724))</f>
        <v>2024</v>
      </c>
      <c r="AD724" s="16" t="s">
        <v>86</v>
      </c>
      <c r="AE724" s="16" t="s">
        <v>66</v>
      </c>
      <c r="AF724" s="16" t="s">
        <v>2316</v>
      </c>
    </row>
    <row r="725" spans="1:32" s="15" customFormat="1" x14ac:dyDescent="0.25">
      <c r="A725" s="16">
        <v>725</v>
      </c>
      <c r="B725" s="16" t="s">
        <v>2317</v>
      </c>
      <c r="C725" s="17">
        <v>45935.77083333333</v>
      </c>
      <c r="D725" s="17">
        <v>45942.77083333333</v>
      </c>
      <c r="E725" s="16" t="s">
        <v>2318</v>
      </c>
      <c r="F725" s="16" t="s">
        <v>294</v>
      </c>
      <c r="G725" s="16" t="s">
        <v>114</v>
      </c>
      <c r="H725" s="16" t="s">
        <v>52</v>
      </c>
      <c r="I725" s="16" t="s">
        <v>258</v>
      </c>
      <c r="J725" s="16" t="s">
        <v>259</v>
      </c>
      <c r="K725" s="16" t="s">
        <v>93</v>
      </c>
      <c r="L725" s="16" t="s">
        <v>94</v>
      </c>
      <c r="M725" s="16" t="s">
        <v>2319</v>
      </c>
      <c r="N725" s="16" t="s">
        <v>76</v>
      </c>
      <c r="O725" s="16">
        <v>6</v>
      </c>
      <c r="P725" s="18">
        <v>2391.93</v>
      </c>
      <c r="Q725" s="19">
        <v>0.05</v>
      </c>
      <c r="R725" s="19">
        <v>0.05</v>
      </c>
      <c r="S725" s="18">
        <v>13634</v>
      </c>
      <c r="T725" s="18">
        <v>9589.81</v>
      </c>
      <c r="U725" s="18">
        <v>4044.19</v>
      </c>
      <c r="V725" s="16" t="s">
        <v>178</v>
      </c>
      <c r="W725" s="16" t="s">
        <v>122</v>
      </c>
      <c r="X725" s="18">
        <f>IF(OR(O725="",P725="",R725=""),"",O725*P725*(1-R725))</f>
        <v>13634</v>
      </c>
      <c r="Y725" s="18">
        <f>IF(OR(X725="",T725=""),"",X725-T725)</f>
        <v>4044.19</v>
      </c>
      <c r="Z725" s="19">
        <f>IFERROR(Y725/X725,"")</f>
        <v>0.2966</v>
      </c>
      <c r="AA725" s="16">
        <f>IF(OR(C725="",D725=""),"",D725-C725)</f>
        <v>7</v>
      </c>
      <c r="AB725" s="16">
        <f>IF(C725="","",MONTH(C725))</f>
        <v>10</v>
      </c>
      <c r="AC725" s="16">
        <f>IF(C725="","",YEAR(C725))</f>
        <v>2025</v>
      </c>
      <c r="AD725" s="16" t="s">
        <v>86</v>
      </c>
      <c r="AE725" s="16" t="s">
        <v>66</v>
      </c>
      <c r="AF725" s="16" t="s">
        <v>179</v>
      </c>
    </row>
    <row r="726" spans="1:32" x14ac:dyDescent="0.25">
      <c r="A726" s="1">
        <v>726</v>
      </c>
      <c r="B726" s="1" t="s">
        <v>2320</v>
      </c>
      <c r="C726" s="2">
        <v>45331.77083333333</v>
      </c>
      <c r="D726" s="2">
        <v>45337.77083333333</v>
      </c>
      <c r="E726" s="1" t="s">
        <v>2321</v>
      </c>
      <c r="F726" s="1" t="s">
        <v>34</v>
      </c>
      <c r="G726" s="1" t="s">
        <v>35</v>
      </c>
      <c r="H726" s="1" t="s">
        <v>80</v>
      </c>
      <c r="I726" s="1" t="s">
        <v>216</v>
      </c>
      <c r="J726" s="1" t="s">
        <v>217</v>
      </c>
      <c r="K726" s="1" t="s">
        <v>55</v>
      </c>
      <c r="L726" s="1" t="s">
        <v>74</v>
      </c>
      <c r="M726" s="1" t="s">
        <v>2322</v>
      </c>
      <c r="N726" s="1" t="s">
        <v>42</v>
      </c>
      <c r="O726" s="1">
        <v>3</v>
      </c>
      <c r="P726" s="3">
        <v>253.43</v>
      </c>
      <c r="Q726" s="4">
        <v>0</v>
      </c>
      <c r="R726" s="4">
        <v>0</v>
      </c>
      <c r="S726" s="3">
        <v>760.29</v>
      </c>
      <c r="T726" s="3">
        <v>497.77</v>
      </c>
      <c r="U726" s="3">
        <v>262.52</v>
      </c>
      <c r="V726" s="1" t="s">
        <v>43</v>
      </c>
      <c r="W726" s="1" t="s">
        <v>44</v>
      </c>
      <c r="X726" s="3">
        <f>IF(OR(O726="",P726="",R726=""),"",O726*P726*(1-R726))</f>
        <v>760.29</v>
      </c>
      <c r="Y726" s="3">
        <f>IF(OR(X726="",T726=""),"",X726-T726)</f>
        <v>262.52</v>
      </c>
      <c r="Z726" s="4">
        <f>IFERROR(Y726/X726,"")</f>
        <v>0.3453</v>
      </c>
      <c r="AA726" s="1">
        <f>IF(OR(C726="",D726=""),"",D726-C726)</f>
        <v>6</v>
      </c>
      <c r="AB726" s="1">
        <f>IF(C726="","",MONTH(C726))</f>
        <v>2</v>
      </c>
      <c r="AC726" s="1">
        <f>IF(C726="","",YEAR(C726))</f>
        <v>2024</v>
      </c>
      <c r="AD726" s="1" t="s">
        <v>45</v>
      </c>
      <c r="AE726" s="1" t="s">
        <v>46</v>
      </c>
      <c r="AF726" s="1" t="s">
        <v>47</v>
      </c>
    </row>
    <row r="727" spans="1:32" x14ac:dyDescent="0.25">
      <c r="A727" s="1">
        <v>727</v>
      </c>
      <c r="B727" s="1" t="s">
        <v>2323</v>
      </c>
      <c r="C727" s="2">
        <v>45934.77083333333</v>
      </c>
      <c r="D727" s="2">
        <v>45941.77083333333</v>
      </c>
      <c r="E727" s="1" t="s">
        <v>2324</v>
      </c>
      <c r="F727" s="1" t="s">
        <v>135</v>
      </c>
      <c r="G727" s="1" t="s">
        <v>109</v>
      </c>
      <c r="H727" s="1" t="s">
        <v>71</v>
      </c>
      <c r="I727" s="1" t="s">
        <v>201</v>
      </c>
      <c r="J727" s="1" t="s">
        <v>202</v>
      </c>
      <c r="K727" s="1" t="s">
        <v>55</v>
      </c>
      <c r="L727" s="1" t="s">
        <v>56</v>
      </c>
      <c r="M727" s="1" t="s">
        <v>2325</v>
      </c>
      <c r="N727" s="1" t="s">
        <v>42</v>
      </c>
      <c r="O727" s="1">
        <v>7</v>
      </c>
      <c r="P727" s="3">
        <v>2134.73</v>
      </c>
      <c r="Q727" s="4">
        <v>0</v>
      </c>
      <c r="R727" s="4">
        <v>0</v>
      </c>
      <c r="S727" s="3">
        <v>14943.11</v>
      </c>
      <c r="T727" s="3">
        <v>8521.5</v>
      </c>
      <c r="U727" s="3">
        <v>6421.61</v>
      </c>
      <c r="V727" s="1" t="s">
        <v>43</v>
      </c>
      <c r="W727" s="1" t="s">
        <v>44</v>
      </c>
      <c r="X727" s="3">
        <f>IF(OR(O727="",P727="",R727=""),"",O727*P727*(1-R727))</f>
        <v>14943.11</v>
      </c>
      <c r="Y727" s="3">
        <f>IF(OR(X727="",T727=""),"",X727-T727)</f>
        <v>6421.61</v>
      </c>
      <c r="Z727" s="4">
        <f>IFERROR(Y727/X727,"")</f>
        <v>0.4297</v>
      </c>
      <c r="AA727" s="1">
        <f>IF(OR(C727="",D727=""),"",D727-C727)</f>
        <v>7</v>
      </c>
      <c r="AB727" s="1">
        <f>IF(C727="","",MONTH(C727))</f>
        <v>10</v>
      </c>
      <c r="AC727" s="1">
        <f>IF(C727="","",YEAR(C727))</f>
        <v>2025</v>
      </c>
      <c r="AD727" s="1" t="s">
        <v>45</v>
      </c>
      <c r="AE727" s="1" t="s">
        <v>46</v>
      </c>
      <c r="AF727" s="1" t="s">
        <v>47</v>
      </c>
    </row>
    <row r="728" spans="1:32" s="15" customFormat="1" x14ac:dyDescent="0.25">
      <c r="A728" s="16">
        <v>728</v>
      </c>
      <c r="B728" s="16" t="s">
        <v>2326</v>
      </c>
      <c r="C728" s="17">
        <v>45307.77083333333</v>
      </c>
      <c r="D728" s="17">
        <v>45313.77083333333</v>
      </c>
      <c r="E728" s="16" t="s">
        <v>2327</v>
      </c>
      <c r="F728" s="16" t="s">
        <v>294</v>
      </c>
      <c r="G728" s="16" t="s">
        <v>114</v>
      </c>
      <c r="H728" s="16" t="s">
        <v>80</v>
      </c>
      <c r="I728" s="16" t="s">
        <v>206</v>
      </c>
      <c r="J728" s="16" t="s">
        <v>207</v>
      </c>
      <c r="K728" s="16" t="s">
        <v>93</v>
      </c>
      <c r="L728" s="16" t="s">
        <v>196</v>
      </c>
      <c r="M728" s="16" t="s">
        <v>2328</v>
      </c>
      <c r="N728" s="16" t="s">
        <v>76</v>
      </c>
      <c r="O728" s="16">
        <v>5</v>
      </c>
      <c r="P728" s="18">
        <v>2018</v>
      </c>
      <c r="Q728" s="19">
        <v>0.2</v>
      </c>
      <c r="R728" s="19">
        <v>0.2</v>
      </c>
      <c r="S728" s="18">
        <v>8072</v>
      </c>
      <c r="T728" s="18">
        <v>5379.22</v>
      </c>
      <c r="U728" s="18">
        <v>2692.78</v>
      </c>
      <c r="V728" s="16" t="s">
        <v>131</v>
      </c>
      <c r="W728" s="16" t="s">
        <v>122</v>
      </c>
      <c r="X728" s="18">
        <f>IF(OR(O728="",P728="",R728=""),"",O728*P728*(1-R728))</f>
        <v>8072</v>
      </c>
      <c r="Y728" s="18">
        <f>IF(OR(X728="",T728=""),"",X728-T728)</f>
        <v>2692.78</v>
      </c>
      <c r="Z728" s="19">
        <f>IFERROR(Y728/X728,"")</f>
        <v>0.3336</v>
      </c>
      <c r="AA728" s="16">
        <f>IF(OR(C728="",D728=""),"",D728-C728)</f>
        <v>6</v>
      </c>
      <c r="AB728" s="16">
        <f>IF(C728="","",MONTH(C728))</f>
        <v>1</v>
      </c>
      <c r="AC728" s="16">
        <f>IF(C728="","",YEAR(C728))</f>
        <v>2024</v>
      </c>
      <c r="AD728" s="16" t="s">
        <v>86</v>
      </c>
      <c r="AE728" s="16" t="s">
        <v>66</v>
      </c>
      <c r="AF728" s="16" t="s">
        <v>132</v>
      </c>
    </row>
    <row r="729" spans="1:32" x14ac:dyDescent="0.25">
      <c r="A729" s="1">
        <v>729</v>
      </c>
      <c r="B729" s="1" t="s">
        <v>2329</v>
      </c>
      <c r="C729" s="2">
        <v>45577.77083333333</v>
      </c>
      <c r="D729" s="2">
        <v>45577.77083333333</v>
      </c>
      <c r="E729" s="1" t="s">
        <v>2330</v>
      </c>
      <c r="F729" s="1" t="s">
        <v>149</v>
      </c>
      <c r="G729" s="1" t="s">
        <v>51</v>
      </c>
      <c r="H729" s="1" t="s">
        <v>52</v>
      </c>
      <c r="I729" s="1" t="s">
        <v>191</v>
      </c>
      <c r="J729" s="1" t="s">
        <v>192</v>
      </c>
      <c r="K729" s="1" t="s">
        <v>93</v>
      </c>
      <c r="L729" s="1" t="s">
        <v>94</v>
      </c>
      <c r="M729" s="1" t="s">
        <v>2331</v>
      </c>
      <c r="N729" s="1" t="s">
        <v>42</v>
      </c>
      <c r="O729" s="1">
        <v>8</v>
      </c>
      <c r="P729" s="3">
        <v>3730.66</v>
      </c>
      <c r="Q729" s="4">
        <v>0.05</v>
      </c>
      <c r="R729" s="4">
        <v>0.05</v>
      </c>
      <c r="S729" s="3">
        <v>28353.02</v>
      </c>
      <c r="T729" s="3">
        <v>19257.85</v>
      </c>
      <c r="U729" s="3">
        <v>9095.17</v>
      </c>
      <c r="V729" s="1" t="s">
        <v>43</v>
      </c>
      <c r="W729" s="1" t="s">
        <v>44</v>
      </c>
      <c r="X729" s="3">
        <f>IF(OR(O729="",P729="",R729=""),"",O729*P729*(1-R729))</f>
        <v>28353.02</v>
      </c>
      <c r="Y729" s="3">
        <f>IF(OR(X729="",T729=""),"",X729-T729)</f>
        <v>9095.17</v>
      </c>
      <c r="Z729" s="4">
        <f>IFERROR(Y729/X729,"")</f>
        <v>0.3208</v>
      </c>
      <c r="AA729" s="1">
        <f>IF(OR(C729="",D729=""),"",D729-C729)</f>
        <v>0</v>
      </c>
      <c r="AB729" s="1">
        <f>IF(C729="","",MONTH(C729))</f>
        <v>10</v>
      </c>
      <c r="AC729" s="1">
        <f>IF(C729="","",YEAR(C729))</f>
        <v>2024</v>
      </c>
      <c r="AD729" s="1" t="s">
        <v>45</v>
      </c>
      <c r="AE729" s="1" t="s">
        <v>46</v>
      </c>
      <c r="AF729" s="1" t="s">
        <v>47</v>
      </c>
    </row>
    <row r="730" spans="1:32" x14ac:dyDescent="0.25">
      <c r="A730" s="1">
        <v>730</v>
      </c>
      <c r="B730" s="1" t="s">
        <v>2332</v>
      </c>
      <c r="C730" s="2">
        <v>45294.77083333333</v>
      </c>
      <c r="D730" s="2">
        <v>45297.77083333333</v>
      </c>
      <c r="E730" s="1" t="s">
        <v>2333</v>
      </c>
      <c r="F730" s="1" t="s">
        <v>153</v>
      </c>
      <c r="G730" s="1" t="s">
        <v>51</v>
      </c>
      <c r="H730" s="1" t="s">
        <v>71</v>
      </c>
      <c r="I730" s="1" t="s">
        <v>201</v>
      </c>
      <c r="J730" s="1" t="s">
        <v>202</v>
      </c>
      <c r="K730" s="1" t="s">
        <v>93</v>
      </c>
      <c r="L730" s="1" t="s">
        <v>305</v>
      </c>
      <c r="M730" s="1" t="s">
        <v>2334</v>
      </c>
      <c r="N730" s="1" t="s">
        <v>64</v>
      </c>
      <c r="O730" s="1">
        <v>1</v>
      </c>
      <c r="P730" s="3">
        <v>2363.02</v>
      </c>
      <c r="Q730" s="4">
        <v>0.15</v>
      </c>
      <c r="R730" s="4">
        <v>0.15</v>
      </c>
      <c r="S730" s="3">
        <v>2008.57</v>
      </c>
      <c r="T730" s="3">
        <v>1194.83</v>
      </c>
      <c r="U730" s="3">
        <v>813.74</v>
      </c>
      <c r="V730" s="1" t="s">
        <v>43</v>
      </c>
      <c r="W730" s="1" t="s">
        <v>44</v>
      </c>
      <c r="X730" s="3">
        <f>IF(OR(O730="",P730="",R730=""),"",O730*P730*(1-R730))</f>
        <v>2008.57</v>
      </c>
      <c r="Y730" s="3">
        <f>IF(OR(X730="",T730=""),"",X730-T730)</f>
        <v>813.74</v>
      </c>
      <c r="Z730" s="4">
        <f>IFERROR(Y730/X730,"")</f>
        <v>0.4051</v>
      </c>
      <c r="AA730" s="1">
        <f>IF(OR(C730="",D730=""),"",D730-C730)</f>
        <v>3</v>
      </c>
      <c r="AB730" s="1">
        <f>IF(C730="","",MONTH(C730))</f>
        <v>1</v>
      </c>
      <c r="AC730" s="1">
        <f>IF(C730="","",YEAR(C730))</f>
        <v>2024</v>
      </c>
      <c r="AD730" s="1" t="s">
        <v>45</v>
      </c>
      <c r="AE730" s="1" t="s">
        <v>46</v>
      </c>
      <c r="AF730" s="1" t="s">
        <v>47</v>
      </c>
    </row>
    <row r="731" spans="1:32" x14ac:dyDescent="0.25">
      <c r="A731" s="1">
        <v>731</v>
      </c>
      <c r="B731" s="1" t="s">
        <v>2335</v>
      </c>
      <c r="C731" s="2">
        <v>45793.77083333333</v>
      </c>
      <c r="D731" s="2">
        <v>45801.77083333333</v>
      </c>
      <c r="E731" s="1" t="s">
        <v>2336</v>
      </c>
      <c r="F731" s="1" t="s">
        <v>79</v>
      </c>
      <c r="G731" s="1" t="s">
        <v>109</v>
      </c>
      <c r="H731" s="1" t="s">
        <v>71</v>
      </c>
      <c r="I731" s="1" t="s">
        <v>277</v>
      </c>
      <c r="J731" s="1" t="s">
        <v>278</v>
      </c>
      <c r="K731" s="1" t="s">
        <v>93</v>
      </c>
      <c r="L731" s="1" t="s">
        <v>305</v>
      </c>
      <c r="M731" s="1" t="s">
        <v>2337</v>
      </c>
      <c r="N731" s="1" t="s">
        <v>58</v>
      </c>
      <c r="O731" s="1">
        <v>6</v>
      </c>
      <c r="P731" s="3">
        <v>1810.63</v>
      </c>
      <c r="Q731" s="4">
        <v>0.15</v>
      </c>
      <c r="R731" s="4">
        <v>0.15</v>
      </c>
      <c r="S731" s="3">
        <v>9234.21</v>
      </c>
      <c r="T731" s="3">
        <v>5516.52</v>
      </c>
      <c r="U731" s="3">
        <v>3717.69</v>
      </c>
      <c r="V731" s="1" t="s">
        <v>43</v>
      </c>
      <c r="W731" s="1" t="s">
        <v>44</v>
      </c>
      <c r="X731" s="3">
        <f>IF(OR(O731="",P731="",R731=""),"",O731*P731*(1-R731))</f>
        <v>9234.21</v>
      </c>
      <c r="Y731" s="3">
        <f>IF(OR(X731="",T731=""),"",X731-T731)</f>
        <v>3717.69</v>
      </c>
      <c r="Z731" s="4">
        <f>IFERROR(Y731/X731,"")</f>
        <v>0.4026</v>
      </c>
      <c r="AA731" s="1">
        <f>IF(OR(C731="",D731=""),"",D731-C731)</f>
        <v>8</v>
      </c>
      <c r="AB731" s="1">
        <f>IF(C731="","",MONTH(C731))</f>
        <v>5</v>
      </c>
      <c r="AC731" s="1">
        <f>IF(C731="","",YEAR(C731))</f>
        <v>2025</v>
      </c>
      <c r="AD731" s="1" t="s">
        <v>45</v>
      </c>
      <c r="AE731" s="1" t="s">
        <v>46</v>
      </c>
      <c r="AF731" s="1" t="s">
        <v>47</v>
      </c>
    </row>
    <row r="732" spans="1:32" s="15" customFormat="1" x14ac:dyDescent="0.25">
      <c r="A732" s="16">
        <v>732</v>
      </c>
      <c r="B732" s="16" t="s">
        <v>2338</v>
      </c>
      <c r="C732" s="17">
        <v>45826.77083333333</v>
      </c>
      <c r="D732" s="17">
        <v>45831.77083333333</v>
      </c>
      <c r="E732" s="16" t="s">
        <v>2339</v>
      </c>
      <c r="F732" s="16" t="s">
        <v>70</v>
      </c>
      <c r="G732" s="16" t="s">
        <v>35</v>
      </c>
      <c r="H732" s="16" t="s">
        <v>52</v>
      </c>
      <c r="I732" s="16" t="s">
        <v>118</v>
      </c>
      <c r="J732" s="16" t="s">
        <v>119</v>
      </c>
      <c r="K732" s="16" t="s">
        <v>39</v>
      </c>
      <c r="L732" s="16" t="s">
        <v>62</v>
      </c>
      <c r="M732" s="16" t="s">
        <v>2340</v>
      </c>
      <c r="N732" s="16" t="s">
        <v>42</v>
      </c>
      <c r="O732" s="16">
        <v>4</v>
      </c>
      <c r="P732" s="18">
        <v>782.01</v>
      </c>
      <c r="Q732" s="19">
        <v>0.15</v>
      </c>
      <c r="R732" s="19">
        <v>0.15</v>
      </c>
      <c r="S732" s="18">
        <v>2658.83</v>
      </c>
      <c r="T732" s="18">
        <v>2226.97</v>
      </c>
      <c r="U732" s="18">
        <v>431.86</v>
      </c>
      <c r="V732" s="16" t="s">
        <v>121</v>
      </c>
      <c r="W732" s="16" t="s">
        <v>122</v>
      </c>
      <c r="X732" s="18">
        <f>IF(OR(O732="",P732="",R732=""),"",O732*P732*(1-R732))</f>
        <v>2658.83</v>
      </c>
      <c r="Y732" s="18">
        <f>IF(OR(X732="",T732=""),"",X732-T732)</f>
        <v>431.86</v>
      </c>
      <c r="Z732" s="19">
        <f>IFERROR(Y732/X732,"")</f>
        <v>0.1624</v>
      </c>
      <c r="AA732" s="16">
        <f>IF(OR(C732="",D732=""),"",D732-C732)</f>
        <v>5</v>
      </c>
      <c r="AB732" s="16">
        <f>IF(C732="","",MONTH(C732))</f>
        <v>6</v>
      </c>
      <c r="AC732" s="16">
        <f>IF(C732="","",YEAR(C732))</f>
        <v>2025</v>
      </c>
      <c r="AD732" s="16" t="s">
        <v>86</v>
      </c>
      <c r="AE732" s="16" t="s">
        <v>66</v>
      </c>
      <c r="AF732" s="16" t="s">
        <v>123</v>
      </c>
    </row>
    <row r="733" spans="1:32" x14ac:dyDescent="0.25">
      <c r="A733" s="1">
        <v>733</v>
      </c>
      <c r="B733" s="1" t="s">
        <v>2341</v>
      </c>
      <c r="C733" s="2">
        <v>45367.77083333333</v>
      </c>
      <c r="D733" s="2">
        <v>45369.77083333333</v>
      </c>
      <c r="E733" s="1" t="s">
        <v>2342</v>
      </c>
      <c r="F733" s="1" t="s">
        <v>79</v>
      </c>
      <c r="G733" s="1" t="s">
        <v>109</v>
      </c>
      <c r="H733" s="1" t="s">
        <v>52</v>
      </c>
      <c r="I733" s="1" t="s">
        <v>53</v>
      </c>
      <c r="J733" s="1" t="s">
        <v>54</v>
      </c>
      <c r="K733" s="1" t="s">
        <v>39</v>
      </c>
      <c r="L733" s="1" t="s">
        <v>176</v>
      </c>
      <c r="M733" s="1" t="s">
        <v>2343</v>
      </c>
      <c r="N733" s="1" t="s">
        <v>64</v>
      </c>
      <c r="O733" s="1">
        <v>4</v>
      </c>
      <c r="P733" s="3">
        <v>4376.68</v>
      </c>
      <c r="Q733" s="4">
        <v>0.1</v>
      </c>
      <c r="R733" s="4">
        <v>0.1</v>
      </c>
      <c r="S733" s="3">
        <v>15756.05</v>
      </c>
      <c r="T733" s="3">
        <v>10245.44</v>
      </c>
      <c r="U733" s="3">
        <v>5510.61</v>
      </c>
      <c r="V733" s="1" t="s">
        <v>43</v>
      </c>
      <c r="W733" s="1" t="s">
        <v>44</v>
      </c>
      <c r="X733" s="3">
        <f>IF(OR(O733="",P733="",R733=""),"",O733*P733*(1-R733))</f>
        <v>15756.05</v>
      </c>
      <c r="Y733" s="3">
        <f>IF(OR(X733="",T733=""),"",X733-T733)</f>
        <v>5510.61</v>
      </c>
      <c r="Z733" s="4">
        <f>IFERROR(Y733/X733,"")</f>
        <v>0.3497</v>
      </c>
      <c r="AA733" s="1">
        <f>IF(OR(C733="",D733=""),"",D733-C733)</f>
        <v>2</v>
      </c>
      <c r="AB733" s="1">
        <f>IF(C733="","",MONTH(C733))</f>
        <v>3</v>
      </c>
      <c r="AC733" s="1">
        <f>IF(C733="","",YEAR(C733))</f>
        <v>2024</v>
      </c>
      <c r="AD733" s="1" t="s">
        <v>45</v>
      </c>
      <c r="AE733" s="1" t="s">
        <v>46</v>
      </c>
      <c r="AF733" s="1" t="s">
        <v>47</v>
      </c>
    </row>
    <row r="734" spans="1:32" x14ac:dyDescent="0.25">
      <c r="A734" s="1">
        <v>734</v>
      </c>
      <c r="B734" s="1" t="s">
        <v>2344</v>
      </c>
      <c r="C734" s="2">
        <v>45623.77083333333</v>
      </c>
      <c r="D734" s="2">
        <v>45631.77083333333</v>
      </c>
      <c r="E734" s="1" t="s">
        <v>2345</v>
      </c>
      <c r="F734" s="1" t="s">
        <v>70</v>
      </c>
      <c r="G734" s="1" t="s">
        <v>51</v>
      </c>
      <c r="H734" s="1" t="s">
        <v>36</v>
      </c>
      <c r="I734" s="1" t="s">
        <v>143</v>
      </c>
      <c r="J734" s="1" t="s">
        <v>144</v>
      </c>
      <c r="K734" s="1" t="s">
        <v>93</v>
      </c>
      <c r="L734" s="1" t="s">
        <v>196</v>
      </c>
      <c r="M734" s="1" t="s">
        <v>2346</v>
      </c>
      <c r="N734" s="1" t="s">
        <v>76</v>
      </c>
      <c r="O734" s="1">
        <v>6</v>
      </c>
      <c r="P734" s="3">
        <v>2464.63</v>
      </c>
      <c r="Q734" s="4">
        <v>0</v>
      </c>
      <c r="R734" s="4">
        <v>0</v>
      </c>
      <c r="S734" s="3">
        <v>14787.78</v>
      </c>
      <c r="T734" s="3">
        <v>8596.65</v>
      </c>
      <c r="U734" s="3">
        <v>6191.13</v>
      </c>
      <c r="V734" s="1" t="s">
        <v>43</v>
      </c>
      <c r="W734" s="1" t="s">
        <v>44</v>
      </c>
      <c r="X734" s="3">
        <f>IF(OR(O734="",P734="",R734=""),"",O734*P734*(1-R734))</f>
        <v>14787.78</v>
      </c>
      <c r="Y734" s="3">
        <f>IF(OR(X734="",T734=""),"",X734-T734)</f>
        <v>6191.13</v>
      </c>
      <c r="Z734" s="4">
        <f>IFERROR(Y734/X734,"")</f>
        <v>0.4187</v>
      </c>
      <c r="AA734" s="1">
        <f>IF(OR(C734="",D734=""),"",D734-C734)</f>
        <v>8</v>
      </c>
      <c r="AB734" s="1">
        <f>IF(C734="","",MONTH(C734))</f>
        <v>11</v>
      </c>
      <c r="AC734" s="1">
        <f>IF(C734="","",YEAR(C734))</f>
        <v>2024</v>
      </c>
      <c r="AD734" s="1" t="s">
        <v>45</v>
      </c>
      <c r="AE734" s="1" t="s">
        <v>46</v>
      </c>
      <c r="AF734" s="1" t="s">
        <v>47</v>
      </c>
    </row>
    <row r="735" spans="1:32" x14ac:dyDescent="0.25">
      <c r="A735" s="1">
        <v>735</v>
      </c>
      <c r="B735" s="1" t="s">
        <v>2347</v>
      </c>
      <c r="C735" s="2">
        <v>45463.77083333333</v>
      </c>
      <c r="D735" s="2">
        <v>45470.77083333333</v>
      </c>
      <c r="E735" s="1" t="s">
        <v>2348</v>
      </c>
      <c r="F735" s="1" t="s">
        <v>149</v>
      </c>
      <c r="G735" s="1" t="s">
        <v>114</v>
      </c>
      <c r="H735" s="1" t="s">
        <v>36</v>
      </c>
      <c r="I735" s="1" t="s">
        <v>37</v>
      </c>
      <c r="J735" s="1" t="s">
        <v>38</v>
      </c>
      <c r="K735" s="1" t="s">
        <v>55</v>
      </c>
      <c r="L735" s="1" t="s">
        <v>74</v>
      </c>
      <c r="M735" s="1" t="s">
        <v>2349</v>
      </c>
      <c r="N735" s="1" t="s">
        <v>64</v>
      </c>
      <c r="O735" s="1">
        <v>9</v>
      </c>
      <c r="P735" s="3">
        <v>2797.96</v>
      </c>
      <c r="Q735" s="4">
        <v>0</v>
      </c>
      <c r="R735" s="4">
        <v>0</v>
      </c>
      <c r="S735" s="3">
        <v>25181.64</v>
      </c>
      <c r="T735" s="3">
        <v>15337.9</v>
      </c>
      <c r="U735" s="3">
        <v>9843.74</v>
      </c>
      <c r="V735" s="1" t="s">
        <v>43</v>
      </c>
      <c r="W735" s="1" t="s">
        <v>44</v>
      </c>
      <c r="X735" s="3">
        <f>IF(OR(O735="",P735="",R735=""),"",O735*P735*(1-R735))</f>
        <v>25181.64</v>
      </c>
      <c r="Y735" s="3">
        <f>IF(OR(X735="",T735=""),"",X735-T735)</f>
        <v>9843.74</v>
      </c>
      <c r="Z735" s="4">
        <f>IFERROR(Y735/X735,"")</f>
        <v>0.3909</v>
      </c>
      <c r="AA735" s="1">
        <f>IF(OR(C735="",D735=""),"",D735-C735)</f>
        <v>7</v>
      </c>
      <c r="AB735" s="1">
        <f>IF(C735="","",MONTH(C735))</f>
        <v>6</v>
      </c>
      <c r="AC735" s="1">
        <f>IF(C735="","",YEAR(C735))</f>
        <v>2024</v>
      </c>
      <c r="AD735" s="1" t="s">
        <v>45</v>
      </c>
      <c r="AE735" s="1" t="s">
        <v>46</v>
      </c>
      <c r="AF735" s="1" t="s">
        <v>47</v>
      </c>
    </row>
    <row r="736" spans="1:32" x14ac:dyDescent="0.25">
      <c r="A736" s="1">
        <v>736</v>
      </c>
      <c r="B736" s="1" t="s">
        <v>2350</v>
      </c>
      <c r="C736" s="2">
        <v>45527.77083333333</v>
      </c>
      <c r="D736" s="2">
        <v>45527.77083333333</v>
      </c>
      <c r="E736" s="1" t="s">
        <v>2351</v>
      </c>
      <c r="F736" s="1" t="s">
        <v>79</v>
      </c>
      <c r="G736" s="1" t="s">
        <v>51</v>
      </c>
      <c r="H736" s="1" t="s">
        <v>36</v>
      </c>
      <c r="I736" s="1" t="s">
        <v>37</v>
      </c>
      <c r="J736" s="1" t="s">
        <v>38</v>
      </c>
      <c r="K736" s="1" t="s">
        <v>93</v>
      </c>
      <c r="L736" s="1" t="s">
        <v>94</v>
      </c>
      <c r="M736" s="1" t="s">
        <v>2352</v>
      </c>
      <c r="N736" s="1" t="s">
        <v>64</v>
      </c>
      <c r="O736" s="1">
        <v>4</v>
      </c>
      <c r="P736" s="3">
        <v>2761.86</v>
      </c>
      <c r="Q736" s="4">
        <v>0.2</v>
      </c>
      <c r="R736" s="4">
        <v>0.2</v>
      </c>
      <c r="S736" s="3">
        <v>8837.95</v>
      </c>
      <c r="T736" s="3">
        <v>6157.27</v>
      </c>
      <c r="U736" s="3">
        <v>2680.68</v>
      </c>
      <c r="V736" s="1" t="s">
        <v>43</v>
      </c>
      <c r="W736" s="1" t="s">
        <v>44</v>
      </c>
      <c r="X736" s="3">
        <f>IF(OR(O736="",P736="",R736=""),"",O736*P736*(1-R736))</f>
        <v>8837.95</v>
      </c>
      <c r="Y736" s="3">
        <f>IF(OR(X736="",T736=""),"",X736-T736)</f>
        <v>2680.68</v>
      </c>
      <c r="Z736" s="4">
        <f>IFERROR(Y736/X736,"")</f>
        <v>0.3033</v>
      </c>
      <c r="AA736" s="1">
        <f>IF(OR(C736="",D736=""),"",D736-C736)</f>
        <v>0</v>
      </c>
      <c r="AB736" s="1">
        <f>IF(C736="","",MONTH(C736))</f>
        <v>8</v>
      </c>
      <c r="AC736" s="1">
        <f>IF(C736="","",YEAR(C736))</f>
        <v>2024</v>
      </c>
      <c r="AD736" s="1" t="s">
        <v>45</v>
      </c>
      <c r="AE736" s="1" t="s">
        <v>46</v>
      </c>
      <c r="AF736" s="1" t="s">
        <v>47</v>
      </c>
    </row>
    <row r="737" spans="1:32" x14ac:dyDescent="0.25">
      <c r="A737" s="1">
        <v>737</v>
      </c>
      <c r="B737" s="1" t="s">
        <v>2353</v>
      </c>
      <c r="C737" s="2">
        <v>45514.77083333333</v>
      </c>
      <c r="D737" s="2">
        <v>45522.77083333333</v>
      </c>
      <c r="E737" s="1" t="s">
        <v>2354</v>
      </c>
      <c r="F737" s="1" t="s">
        <v>50</v>
      </c>
      <c r="G737" s="1" t="s">
        <v>35</v>
      </c>
      <c r="H737" s="1" t="s">
        <v>80</v>
      </c>
      <c r="I737" s="1" t="s">
        <v>81</v>
      </c>
      <c r="J737" s="1" t="s">
        <v>82</v>
      </c>
      <c r="K737" s="1" t="s">
        <v>55</v>
      </c>
      <c r="L737" s="1" t="s">
        <v>56</v>
      </c>
      <c r="M737" s="1" t="s">
        <v>2355</v>
      </c>
      <c r="N737" s="1" t="s">
        <v>76</v>
      </c>
      <c r="O737" s="1">
        <v>6</v>
      </c>
      <c r="P737" s="3">
        <v>1515.79</v>
      </c>
      <c r="Q737" s="4">
        <v>0.2</v>
      </c>
      <c r="R737" s="4">
        <v>0.2</v>
      </c>
      <c r="S737" s="3">
        <v>7275.79</v>
      </c>
      <c r="T737" s="3">
        <v>6152.87</v>
      </c>
      <c r="U737" s="3">
        <v>1122.92</v>
      </c>
      <c r="V737" s="1" t="s">
        <v>43</v>
      </c>
      <c r="W737" s="1" t="s">
        <v>44</v>
      </c>
      <c r="X737" s="3">
        <f>IF(OR(O737="",P737="",R737=""),"",O737*P737*(1-R737))</f>
        <v>7275.79</v>
      </c>
      <c r="Y737" s="3">
        <f>IF(OR(X737="",T737=""),"",X737-T737)</f>
        <v>1122.92</v>
      </c>
      <c r="Z737" s="4">
        <f>IFERROR(Y737/X737,"")</f>
        <v>0.1543</v>
      </c>
      <c r="AA737" s="1">
        <f>IF(OR(C737="",D737=""),"",D737-C737)</f>
        <v>8</v>
      </c>
      <c r="AB737" s="1">
        <f>IF(C737="","",MONTH(C737))</f>
        <v>8</v>
      </c>
      <c r="AC737" s="1">
        <f>IF(C737="","",YEAR(C737))</f>
        <v>2024</v>
      </c>
      <c r="AD737" s="1" t="s">
        <v>45</v>
      </c>
      <c r="AE737" s="1" t="s">
        <v>46</v>
      </c>
      <c r="AF737" s="1" t="s">
        <v>47</v>
      </c>
    </row>
    <row r="738" spans="1:32" x14ac:dyDescent="0.25">
      <c r="A738" s="1">
        <v>738</v>
      </c>
      <c r="B738" s="1" t="s">
        <v>2356</v>
      </c>
      <c r="C738" s="2">
        <v>45631.77083333333</v>
      </c>
      <c r="D738" s="2">
        <v>45634.77083333333</v>
      </c>
      <c r="E738" s="1" t="s">
        <v>2357</v>
      </c>
      <c r="F738" s="1" t="s">
        <v>108</v>
      </c>
      <c r="G738" s="1" t="s">
        <v>35</v>
      </c>
      <c r="H738" s="1" t="s">
        <v>80</v>
      </c>
      <c r="I738" s="1" t="s">
        <v>81</v>
      </c>
      <c r="J738" s="1" t="s">
        <v>82</v>
      </c>
      <c r="K738" s="1" t="s">
        <v>55</v>
      </c>
      <c r="L738" s="1" t="s">
        <v>83</v>
      </c>
      <c r="M738" s="1" t="s">
        <v>2358</v>
      </c>
      <c r="N738" s="1" t="s">
        <v>42</v>
      </c>
      <c r="O738" s="1">
        <v>9</v>
      </c>
      <c r="P738" s="3">
        <v>290.75</v>
      </c>
      <c r="Q738" s="4">
        <v>0.1</v>
      </c>
      <c r="R738" s="4">
        <v>0.1</v>
      </c>
      <c r="S738" s="3">
        <v>2355.08</v>
      </c>
      <c r="T738" s="3">
        <v>1350.03</v>
      </c>
      <c r="U738" s="3">
        <v>1005.05</v>
      </c>
      <c r="V738" s="1" t="s">
        <v>43</v>
      </c>
      <c r="W738" s="1" t="s">
        <v>44</v>
      </c>
      <c r="X738" s="3">
        <f>IF(OR(O738="",P738="",R738=""),"",O738*P738*(1-R738))</f>
        <v>2355.08</v>
      </c>
      <c r="Y738" s="3">
        <f>IF(OR(X738="",T738=""),"",X738-T738)</f>
        <v>1005.05</v>
      </c>
      <c r="Z738" s="4">
        <f>IFERROR(Y738/X738,"")</f>
        <v>0.4268</v>
      </c>
      <c r="AA738" s="1">
        <f>IF(OR(C738="",D738=""),"",D738-C738)</f>
        <v>3</v>
      </c>
      <c r="AB738" s="1">
        <f>IF(C738="","",MONTH(C738))</f>
        <v>12</v>
      </c>
      <c r="AC738" s="1">
        <f>IF(C738="","",YEAR(C738))</f>
        <v>2024</v>
      </c>
      <c r="AD738" s="1" t="s">
        <v>45</v>
      </c>
      <c r="AE738" s="1" t="s">
        <v>46</v>
      </c>
      <c r="AF738" s="1" t="s">
        <v>47</v>
      </c>
    </row>
    <row r="739" spans="1:32" x14ac:dyDescent="0.25">
      <c r="A739" s="1">
        <v>739</v>
      </c>
      <c r="B739" s="1" t="s">
        <v>2359</v>
      </c>
      <c r="C739" s="2">
        <v>45331.77083333333</v>
      </c>
      <c r="D739" s="2">
        <v>45331.77083333333</v>
      </c>
      <c r="E739" s="1" t="s">
        <v>2360</v>
      </c>
      <c r="F739" s="1" t="s">
        <v>61</v>
      </c>
      <c r="G739" s="1" t="s">
        <v>114</v>
      </c>
      <c r="H739" s="1" t="s">
        <v>80</v>
      </c>
      <c r="I739" s="1" t="s">
        <v>81</v>
      </c>
      <c r="J739" s="1" t="s">
        <v>82</v>
      </c>
      <c r="K739" s="1" t="s">
        <v>55</v>
      </c>
      <c r="L739" s="1" t="s">
        <v>83</v>
      </c>
      <c r="M739" s="1" t="s">
        <v>2361</v>
      </c>
      <c r="N739" s="1" t="s">
        <v>58</v>
      </c>
      <c r="O739" s="1">
        <v>6</v>
      </c>
      <c r="P739" s="3">
        <v>601.52</v>
      </c>
      <c r="Q739" s="4">
        <v>0</v>
      </c>
      <c r="R739" s="4">
        <v>0</v>
      </c>
      <c r="S739" s="3">
        <v>3609.12</v>
      </c>
      <c r="T739" s="3">
        <v>2645.5</v>
      </c>
      <c r="U739" s="3">
        <v>963.62</v>
      </c>
      <c r="V739" s="1" t="s">
        <v>43</v>
      </c>
      <c r="W739" s="1" t="s">
        <v>44</v>
      </c>
      <c r="X739" s="3">
        <f>IF(OR(O739="",P739="",R739=""),"",O739*P739*(1-R739))</f>
        <v>3609.12</v>
      </c>
      <c r="Y739" s="3">
        <f>IF(OR(X739="",T739=""),"",X739-T739)</f>
        <v>963.62</v>
      </c>
      <c r="Z739" s="4">
        <f>IFERROR(Y739/X739,"")</f>
        <v>0.267</v>
      </c>
      <c r="AA739" s="1">
        <f>IF(OR(C739="",D739=""),"",D739-C739)</f>
        <v>0</v>
      </c>
      <c r="AB739" s="1">
        <f>IF(C739="","",MONTH(C739))</f>
        <v>2</v>
      </c>
      <c r="AC739" s="1">
        <f>IF(C739="","",YEAR(C739))</f>
        <v>2024</v>
      </c>
      <c r="AD739" s="1" t="s">
        <v>45</v>
      </c>
      <c r="AE739" s="1" t="s">
        <v>46</v>
      </c>
      <c r="AF739" s="1" t="s">
        <v>47</v>
      </c>
    </row>
    <row r="740" spans="1:32" x14ac:dyDescent="0.25">
      <c r="A740" s="1">
        <v>740</v>
      </c>
      <c r="B740" s="1" t="s">
        <v>2362</v>
      </c>
      <c r="C740" s="2">
        <v>45707.77083333333</v>
      </c>
      <c r="D740" s="2">
        <v>45709.77083333333</v>
      </c>
      <c r="E740" s="1" t="s">
        <v>2363</v>
      </c>
      <c r="F740" s="1" t="s">
        <v>135</v>
      </c>
      <c r="G740" s="1" t="s">
        <v>109</v>
      </c>
      <c r="H740" s="1" t="s">
        <v>71</v>
      </c>
      <c r="I740" s="1" t="s">
        <v>211</v>
      </c>
      <c r="J740" s="1" t="s">
        <v>212</v>
      </c>
      <c r="K740" s="1" t="s">
        <v>39</v>
      </c>
      <c r="L740" s="1" t="s">
        <v>40</v>
      </c>
      <c r="M740" s="1" t="s">
        <v>2364</v>
      </c>
      <c r="N740" s="1" t="s">
        <v>64</v>
      </c>
      <c r="O740" s="1">
        <v>1</v>
      </c>
      <c r="P740" s="3">
        <v>2188.19</v>
      </c>
      <c r="Q740" s="4">
        <v>0</v>
      </c>
      <c r="R740" s="4">
        <v>0</v>
      </c>
      <c r="S740" s="3">
        <v>2188.19</v>
      </c>
      <c r="T740" s="3">
        <v>1298.84</v>
      </c>
      <c r="U740" s="3">
        <v>889.35</v>
      </c>
      <c r="V740" s="1" t="s">
        <v>43</v>
      </c>
      <c r="W740" s="1" t="s">
        <v>44</v>
      </c>
      <c r="X740" s="3">
        <f>IF(OR(O740="",P740="",R740=""),"",O740*P740*(1-R740))</f>
        <v>2188.19</v>
      </c>
      <c r="Y740" s="3">
        <f>IF(OR(X740="",T740=""),"",X740-T740)</f>
        <v>889.35</v>
      </c>
      <c r="Z740" s="4">
        <f>IFERROR(Y740/X740,"")</f>
        <v>0.4064</v>
      </c>
      <c r="AA740" s="1">
        <f>IF(OR(C740="",D740=""),"",D740-C740)</f>
        <v>2</v>
      </c>
      <c r="AB740" s="1">
        <f>IF(C740="","",MONTH(C740))</f>
        <v>2</v>
      </c>
      <c r="AC740" s="1">
        <f>IF(C740="","",YEAR(C740))</f>
        <v>2025</v>
      </c>
      <c r="AD740" s="1" t="s">
        <v>45</v>
      </c>
      <c r="AE740" s="1" t="s">
        <v>46</v>
      </c>
      <c r="AF740" s="1" t="s">
        <v>47</v>
      </c>
    </row>
    <row r="741" spans="1:32" x14ac:dyDescent="0.25">
      <c r="A741" s="1">
        <v>741</v>
      </c>
      <c r="B741" s="1" t="s">
        <v>2365</v>
      </c>
      <c r="C741" s="2">
        <v>45628.77083333333</v>
      </c>
      <c r="D741" s="2">
        <v>45635.77083333333</v>
      </c>
      <c r="E741" s="1" t="s">
        <v>2366</v>
      </c>
      <c r="F741" s="1" t="s">
        <v>98</v>
      </c>
      <c r="G741" s="1" t="s">
        <v>109</v>
      </c>
      <c r="H741" s="1" t="s">
        <v>36</v>
      </c>
      <c r="I741" s="1" t="s">
        <v>37</v>
      </c>
      <c r="J741" s="1" t="s">
        <v>38</v>
      </c>
      <c r="K741" s="1" t="s">
        <v>93</v>
      </c>
      <c r="L741" s="1" t="s">
        <v>196</v>
      </c>
      <c r="M741" s="1" t="s">
        <v>2367</v>
      </c>
      <c r="N741" s="1" t="s">
        <v>76</v>
      </c>
      <c r="O741" s="1">
        <v>5</v>
      </c>
      <c r="P741" s="3">
        <v>2393.86</v>
      </c>
      <c r="Q741" s="4">
        <v>0.05</v>
      </c>
      <c r="R741" s="4">
        <v>0.05</v>
      </c>
      <c r="S741" s="3">
        <v>11370.84</v>
      </c>
      <c r="T741" s="3">
        <v>7469.58</v>
      </c>
      <c r="U741" s="3">
        <v>3901.26</v>
      </c>
      <c r="V741" s="1" t="s">
        <v>43</v>
      </c>
      <c r="W741" s="1" t="s">
        <v>44</v>
      </c>
      <c r="X741" s="3">
        <f>IF(OR(O741="",P741="",R741=""),"",O741*P741*(1-R741))</f>
        <v>11370.84</v>
      </c>
      <c r="Y741" s="3">
        <f>IF(OR(X741="",T741=""),"",X741-T741)</f>
        <v>3901.26</v>
      </c>
      <c r="Z741" s="4">
        <f>IFERROR(Y741/X741,"")</f>
        <v>0.3431</v>
      </c>
      <c r="AA741" s="1">
        <f>IF(OR(C741="",D741=""),"",D741-C741)</f>
        <v>7</v>
      </c>
      <c r="AB741" s="1">
        <f>IF(C741="","",MONTH(C741))</f>
        <v>12</v>
      </c>
      <c r="AC741" s="1">
        <f>IF(C741="","",YEAR(C741))</f>
        <v>2024</v>
      </c>
      <c r="AD741" s="1" t="s">
        <v>45</v>
      </c>
      <c r="AE741" s="1" t="s">
        <v>46</v>
      </c>
      <c r="AF741" s="1" t="s">
        <v>47</v>
      </c>
    </row>
    <row r="742" spans="1:32" x14ac:dyDescent="0.25">
      <c r="A742" s="1">
        <v>742</v>
      </c>
      <c r="B742" s="1" t="s">
        <v>2368</v>
      </c>
      <c r="C742" s="2">
        <v>45383.77083333333</v>
      </c>
      <c r="D742" s="2">
        <v>45383.77083333333</v>
      </c>
      <c r="E742" s="1" t="s">
        <v>563</v>
      </c>
      <c r="F742" s="1" t="s">
        <v>153</v>
      </c>
      <c r="G742" s="1" t="s">
        <v>51</v>
      </c>
      <c r="H742" s="1" t="s">
        <v>80</v>
      </c>
      <c r="I742" s="1" t="s">
        <v>81</v>
      </c>
      <c r="J742" s="1" t="s">
        <v>82</v>
      </c>
      <c r="K742" s="1" t="s">
        <v>55</v>
      </c>
      <c r="L742" s="1" t="s">
        <v>83</v>
      </c>
      <c r="M742" s="1" t="s">
        <v>2369</v>
      </c>
      <c r="N742" s="1" t="s">
        <v>64</v>
      </c>
      <c r="O742" s="1">
        <v>4</v>
      </c>
      <c r="P742" s="3">
        <v>2583</v>
      </c>
      <c r="Q742" s="4">
        <v>0.1</v>
      </c>
      <c r="R742" s="4">
        <v>0.1</v>
      </c>
      <c r="S742" s="3">
        <v>9298.8</v>
      </c>
      <c r="T742" s="3">
        <v>6548.5</v>
      </c>
      <c r="U742" s="3">
        <v>2750.3</v>
      </c>
      <c r="V742" s="1" t="s">
        <v>43</v>
      </c>
      <c r="W742" s="1" t="s">
        <v>44</v>
      </c>
      <c r="X742" s="3">
        <f>IF(OR(O742="",P742="",R742=""),"",O742*P742*(1-R742))</f>
        <v>9298.8</v>
      </c>
      <c r="Y742" s="3">
        <f>IF(OR(X742="",T742=""),"",X742-T742)</f>
        <v>2750.3</v>
      </c>
      <c r="Z742" s="4">
        <f>IFERROR(Y742/X742,"")</f>
        <v>0.2958</v>
      </c>
      <c r="AA742" s="1">
        <f>IF(OR(C742="",D742=""),"",D742-C742)</f>
        <v>0</v>
      </c>
      <c r="AB742" s="1">
        <f>IF(C742="","",MONTH(C742))</f>
        <v>4</v>
      </c>
      <c r="AC742" s="1">
        <f>IF(C742="","",YEAR(C742))</f>
        <v>2024</v>
      </c>
      <c r="AD742" s="1" t="s">
        <v>45</v>
      </c>
      <c r="AE742" s="1" t="s">
        <v>46</v>
      </c>
      <c r="AF742" s="1" t="s">
        <v>47</v>
      </c>
    </row>
    <row r="743" spans="1:32" s="10" customFormat="1" x14ac:dyDescent="0.25">
      <c r="A743" s="11">
        <v>743</v>
      </c>
      <c r="B743" s="11" t="s">
        <v>2370</v>
      </c>
      <c r="C743" s="12">
        <v>45769.77083333333</v>
      </c>
      <c r="D743" s="12">
        <v>45771.77083333333</v>
      </c>
      <c r="E743" s="11" t="s">
        <v>2371</v>
      </c>
      <c r="F743" s="11" t="s">
        <v>61</v>
      </c>
      <c r="G743" s="11" t="s">
        <v>114</v>
      </c>
      <c r="H743" s="11" t="s">
        <v>71</v>
      </c>
      <c r="I743" s="11" t="s">
        <v>277</v>
      </c>
      <c r="J743" s="11" t="s">
        <v>278</v>
      </c>
      <c r="K743" s="11" t="s">
        <v>55</v>
      </c>
      <c r="L743" s="11" t="s">
        <v>83</v>
      </c>
      <c r="M743" s="11" t="s">
        <v>2372</v>
      </c>
      <c r="N743" s="11" t="s">
        <v>42</v>
      </c>
      <c r="O743" s="11">
        <v>3</v>
      </c>
      <c r="P743" s="13">
        <v>2951.12</v>
      </c>
      <c r="Q743" s="14"/>
      <c r="R743" s="14">
        <v>0</v>
      </c>
      <c r="S743" s="13">
        <v>7082.69</v>
      </c>
      <c r="T743" s="13">
        <v>5596.34</v>
      </c>
      <c r="U743" s="13">
        <v>1486.35</v>
      </c>
      <c r="V743" s="11" t="s">
        <v>43</v>
      </c>
      <c r="W743" s="11" t="s">
        <v>85</v>
      </c>
      <c r="X743" s="13">
        <f>IF(OR(O743="",P743="",R743=""),"",O743*P743*(1-R743))</f>
        <v>8853.36</v>
      </c>
      <c r="Y743" s="13">
        <f>IF(OR(X743="",T743=""),"",X743-T743)</f>
        <v>3257.02</v>
      </c>
      <c r="Z743" s="14">
        <f>IFERROR(Y743/X743,"")</f>
        <v>0.3679</v>
      </c>
      <c r="AA743" s="11">
        <f>IF(OR(C743="",D743=""),"",D743-C743)</f>
        <v>2</v>
      </c>
      <c r="AB743" s="11">
        <f>IF(C743="","",MONTH(C743))</f>
        <v>4</v>
      </c>
      <c r="AC743" s="11">
        <f>IF(C743="","",YEAR(C743))</f>
        <v>2025</v>
      </c>
      <c r="AD743" s="11" t="s">
        <v>65</v>
      </c>
      <c r="AE743" s="11" t="s">
        <v>66</v>
      </c>
      <c r="AF743" s="11" t="s">
        <v>468</v>
      </c>
    </row>
    <row r="744" spans="1:32" x14ac:dyDescent="0.25">
      <c r="A744" s="1">
        <v>744</v>
      </c>
      <c r="B744" s="1" t="s">
        <v>2373</v>
      </c>
      <c r="C744" s="2">
        <v>45579.77083333333</v>
      </c>
      <c r="D744" s="2">
        <v>45586.77083333333</v>
      </c>
      <c r="E744" s="1" t="s">
        <v>2374</v>
      </c>
      <c r="F744" s="1" t="s">
        <v>34</v>
      </c>
      <c r="G744" s="1" t="s">
        <v>109</v>
      </c>
      <c r="H744" s="1" t="s">
        <v>52</v>
      </c>
      <c r="I744" s="1" t="s">
        <v>53</v>
      </c>
      <c r="J744" s="1" t="s">
        <v>54</v>
      </c>
      <c r="K744" s="1" t="s">
        <v>39</v>
      </c>
      <c r="L744" s="1" t="s">
        <v>40</v>
      </c>
      <c r="M744" s="1" t="s">
        <v>2375</v>
      </c>
      <c r="N744" s="1" t="s">
        <v>76</v>
      </c>
      <c r="O744" s="1">
        <v>4</v>
      </c>
      <c r="P744" s="3">
        <v>2260.95</v>
      </c>
      <c r="Q744" s="4">
        <v>0</v>
      </c>
      <c r="R744" s="4">
        <v>0</v>
      </c>
      <c r="S744" s="3">
        <v>9043.8</v>
      </c>
      <c r="T744" s="3">
        <v>5913.38</v>
      </c>
      <c r="U744" s="3">
        <v>3130.42</v>
      </c>
      <c r="V744" s="1" t="s">
        <v>43</v>
      </c>
      <c r="W744" s="1" t="s">
        <v>44</v>
      </c>
      <c r="X744" s="3">
        <f>IF(OR(O744="",P744="",R744=""),"",O744*P744*(1-R744))</f>
        <v>9043.8</v>
      </c>
      <c r="Y744" s="3">
        <f>IF(OR(X744="",T744=""),"",X744-T744)</f>
        <v>3130.42</v>
      </c>
      <c r="Z744" s="4">
        <f>IFERROR(Y744/X744,"")</f>
        <v>0.3461</v>
      </c>
      <c r="AA744" s="1">
        <f>IF(OR(C744="",D744=""),"",D744-C744)</f>
        <v>7</v>
      </c>
      <c r="AB744" s="1">
        <f>IF(C744="","",MONTH(C744))</f>
        <v>10</v>
      </c>
      <c r="AC744" s="1">
        <f>IF(C744="","",YEAR(C744))</f>
        <v>2024</v>
      </c>
      <c r="AD744" s="1" t="s">
        <v>45</v>
      </c>
      <c r="AE744" s="1" t="s">
        <v>46</v>
      </c>
      <c r="AF744" s="1" t="s">
        <v>47</v>
      </c>
    </row>
    <row r="745" spans="1:32" x14ac:dyDescent="0.25">
      <c r="A745" s="1">
        <v>745</v>
      </c>
      <c r="B745" s="1" t="s">
        <v>2376</v>
      </c>
      <c r="C745" s="2">
        <v>45699.77083333333</v>
      </c>
      <c r="D745" s="2">
        <v>45701.77083333333</v>
      </c>
      <c r="E745" s="1" t="s">
        <v>2377</v>
      </c>
      <c r="F745" s="1" t="s">
        <v>153</v>
      </c>
      <c r="G745" s="1" t="s">
        <v>35</v>
      </c>
      <c r="H745" s="1" t="s">
        <v>36</v>
      </c>
      <c r="I745" s="1" t="s">
        <v>157</v>
      </c>
      <c r="J745" s="1" t="s">
        <v>158</v>
      </c>
      <c r="K745" s="1" t="s">
        <v>39</v>
      </c>
      <c r="L745" s="1" t="s">
        <v>62</v>
      </c>
      <c r="M745" s="1" t="s">
        <v>2378</v>
      </c>
      <c r="N745" s="1" t="s">
        <v>76</v>
      </c>
      <c r="O745" s="1">
        <v>6</v>
      </c>
      <c r="P745" s="3">
        <v>491.4</v>
      </c>
      <c r="Q745" s="4">
        <v>0.25</v>
      </c>
      <c r="R745" s="4">
        <v>0.25</v>
      </c>
      <c r="S745" s="3">
        <v>2211.3</v>
      </c>
      <c r="T745" s="3">
        <v>1735.64</v>
      </c>
      <c r="U745" s="3">
        <v>475.66</v>
      </c>
      <c r="V745" s="1" t="s">
        <v>43</v>
      </c>
      <c r="W745" s="1" t="s">
        <v>44</v>
      </c>
      <c r="X745" s="3">
        <f>IF(OR(O745="",P745="",R745=""),"",O745*P745*(1-R745))</f>
        <v>2211.3</v>
      </c>
      <c r="Y745" s="3">
        <f>IF(OR(X745="",T745=""),"",X745-T745)</f>
        <v>475.66</v>
      </c>
      <c r="Z745" s="4">
        <f>IFERROR(Y745/X745,"")</f>
        <v>0.2151</v>
      </c>
      <c r="AA745" s="1">
        <f>IF(OR(C745="",D745=""),"",D745-C745)</f>
        <v>2</v>
      </c>
      <c r="AB745" s="1">
        <f>IF(C745="","",MONTH(C745))</f>
        <v>2</v>
      </c>
      <c r="AC745" s="1">
        <f>IF(C745="","",YEAR(C745))</f>
        <v>2025</v>
      </c>
      <c r="AD745" s="1" t="s">
        <v>45</v>
      </c>
      <c r="AE745" s="1" t="s">
        <v>46</v>
      </c>
      <c r="AF745" s="1" t="s">
        <v>47</v>
      </c>
    </row>
    <row r="746" spans="1:32" s="15" customFormat="1" x14ac:dyDescent="0.25">
      <c r="A746" s="16">
        <v>746</v>
      </c>
      <c r="B746" s="16" t="s">
        <v>2379</v>
      </c>
      <c r="C746" s="17">
        <v>45885.77083333333</v>
      </c>
      <c r="D746" s="17">
        <v>45888.77083333333</v>
      </c>
      <c r="E746" s="16" t="s">
        <v>2380</v>
      </c>
      <c r="F746" s="16" t="s">
        <v>50</v>
      </c>
      <c r="G746" s="16" t="s">
        <v>114</v>
      </c>
      <c r="H746" s="16" t="s">
        <v>36</v>
      </c>
      <c r="I746" s="16" t="s">
        <v>143</v>
      </c>
      <c r="J746" s="16" t="s">
        <v>144</v>
      </c>
      <c r="K746" s="16" t="s">
        <v>39</v>
      </c>
      <c r="L746" s="16" t="s">
        <v>176</v>
      </c>
      <c r="M746" s="16" t="s">
        <v>2381</v>
      </c>
      <c r="N746" s="16" t="s">
        <v>64</v>
      </c>
      <c r="O746" s="16">
        <v>5</v>
      </c>
      <c r="P746" s="18">
        <v>2701.89</v>
      </c>
      <c r="Q746" s="19">
        <v>0.1</v>
      </c>
      <c r="R746" s="19">
        <v>0.1</v>
      </c>
      <c r="S746" s="18">
        <v>12158.5</v>
      </c>
      <c r="T746" s="18">
        <v>10260.07</v>
      </c>
      <c r="U746" s="18">
        <v>1898.43</v>
      </c>
      <c r="V746" s="16" t="s">
        <v>43</v>
      </c>
      <c r="W746" s="16" t="s">
        <v>85</v>
      </c>
      <c r="X746" s="18">
        <f>IF(OR(O746="",P746="",R746=""),"",O746*P746*(1-R746))</f>
        <v>12158.51</v>
      </c>
      <c r="Y746" s="18">
        <f>IF(OR(X746="",T746=""),"",X746-T746)</f>
        <v>1898.44</v>
      </c>
      <c r="Z746" s="19">
        <f>IFERROR(Y746/X746,"")</f>
        <v>0.1561</v>
      </c>
      <c r="AA746" s="16">
        <f>IF(OR(C746="",D746=""),"",D746-C746)</f>
        <v>3</v>
      </c>
      <c r="AB746" s="16">
        <f>IF(C746="","",MONTH(C746))</f>
        <v>8</v>
      </c>
      <c r="AC746" s="16">
        <f>IF(C746="","",YEAR(C746))</f>
        <v>2025</v>
      </c>
      <c r="AD746" s="16" t="s">
        <v>86</v>
      </c>
      <c r="AE746" s="16" t="s">
        <v>66</v>
      </c>
      <c r="AF746" s="16" t="s">
        <v>87</v>
      </c>
    </row>
    <row r="747" spans="1:32" x14ac:dyDescent="0.25">
      <c r="A747" s="1">
        <v>747</v>
      </c>
      <c r="B747" s="1" t="s">
        <v>2382</v>
      </c>
      <c r="C747" s="2">
        <v>45588.77083333333</v>
      </c>
      <c r="D747" s="2">
        <v>45592.77083333333</v>
      </c>
      <c r="E747" s="1" t="s">
        <v>2383</v>
      </c>
      <c r="F747" s="1" t="s">
        <v>50</v>
      </c>
      <c r="G747" s="1" t="s">
        <v>51</v>
      </c>
      <c r="H747" s="1" t="s">
        <v>52</v>
      </c>
      <c r="I747" s="1" t="s">
        <v>191</v>
      </c>
      <c r="J747" s="1" t="s">
        <v>192</v>
      </c>
      <c r="K747" s="1" t="s">
        <v>93</v>
      </c>
      <c r="L747" s="1" t="s">
        <v>99</v>
      </c>
      <c r="M747" s="1" t="s">
        <v>2384</v>
      </c>
      <c r="N747" s="1" t="s">
        <v>76</v>
      </c>
      <c r="O747" s="1">
        <v>3</v>
      </c>
      <c r="P747" s="3">
        <v>723.59</v>
      </c>
      <c r="Q747" s="4">
        <v>0.2</v>
      </c>
      <c r="R747" s="4">
        <v>0.2</v>
      </c>
      <c r="S747" s="3">
        <v>1736.62</v>
      </c>
      <c r="T747" s="3">
        <v>1059.52</v>
      </c>
      <c r="U747" s="3">
        <v>677.1</v>
      </c>
      <c r="V747" s="1" t="s">
        <v>43</v>
      </c>
      <c r="W747" s="1" t="s">
        <v>44</v>
      </c>
      <c r="X747" s="3">
        <f>IF(OR(O747="",P747="",R747=""),"",O747*P747*(1-R747))</f>
        <v>1736.62</v>
      </c>
      <c r="Y747" s="3">
        <f>IF(OR(X747="",T747=""),"",X747-T747)</f>
        <v>677.1</v>
      </c>
      <c r="Z747" s="4">
        <f>IFERROR(Y747/X747,"")</f>
        <v>0.3899</v>
      </c>
      <c r="AA747" s="1">
        <f>IF(OR(C747="",D747=""),"",D747-C747)</f>
        <v>4</v>
      </c>
      <c r="AB747" s="1">
        <f>IF(C747="","",MONTH(C747))</f>
        <v>10</v>
      </c>
      <c r="AC747" s="1">
        <f>IF(C747="","",YEAR(C747))</f>
        <v>2024</v>
      </c>
      <c r="AD747" s="1" t="s">
        <v>45</v>
      </c>
      <c r="AE747" s="1" t="s">
        <v>46</v>
      </c>
      <c r="AF747" s="1" t="s">
        <v>47</v>
      </c>
    </row>
    <row r="748" spans="1:32" x14ac:dyDescent="0.25">
      <c r="A748" s="1">
        <v>748</v>
      </c>
      <c r="B748" s="1" t="s">
        <v>2385</v>
      </c>
      <c r="C748" s="2">
        <v>45660.77083333333</v>
      </c>
      <c r="D748" s="2">
        <v>45666.77083333333</v>
      </c>
      <c r="E748" s="1" t="s">
        <v>2089</v>
      </c>
      <c r="F748" s="1" t="s">
        <v>149</v>
      </c>
      <c r="G748" s="1" t="s">
        <v>114</v>
      </c>
      <c r="H748" s="1" t="s">
        <v>52</v>
      </c>
      <c r="I748" s="1" t="s">
        <v>118</v>
      </c>
      <c r="J748" s="1" t="s">
        <v>119</v>
      </c>
      <c r="K748" s="1" t="s">
        <v>39</v>
      </c>
      <c r="L748" s="1" t="s">
        <v>40</v>
      </c>
      <c r="M748" s="1" t="s">
        <v>2386</v>
      </c>
      <c r="N748" s="1" t="s">
        <v>76</v>
      </c>
      <c r="O748" s="1">
        <v>4</v>
      </c>
      <c r="P748" s="3">
        <v>2583.19</v>
      </c>
      <c r="Q748" s="4">
        <v>0.2</v>
      </c>
      <c r="R748" s="4">
        <v>0.2</v>
      </c>
      <c r="S748" s="3">
        <v>8266.21</v>
      </c>
      <c r="T748" s="3">
        <v>6236.32</v>
      </c>
      <c r="U748" s="3">
        <v>2029.89</v>
      </c>
      <c r="V748" s="1" t="s">
        <v>43</v>
      </c>
      <c r="W748" s="1" t="s">
        <v>44</v>
      </c>
      <c r="X748" s="3">
        <f>IF(OR(O748="",P748="",R748=""),"",O748*P748*(1-R748))</f>
        <v>8266.21</v>
      </c>
      <c r="Y748" s="3">
        <f>IF(OR(X748="",T748=""),"",X748-T748)</f>
        <v>2029.89</v>
      </c>
      <c r="Z748" s="4">
        <f>IFERROR(Y748/X748,"")</f>
        <v>0.2456</v>
      </c>
      <c r="AA748" s="1">
        <f>IF(OR(C748="",D748=""),"",D748-C748)</f>
        <v>6</v>
      </c>
      <c r="AB748" s="1">
        <f>IF(C748="","",MONTH(C748))</f>
        <v>1</v>
      </c>
      <c r="AC748" s="1">
        <f>IF(C748="","",YEAR(C748))</f>
        <v>2025</v>
      </c>
      <c r="AD748" s="1" t="s">
        <v>45</v>
      </c>
      <c r="AE748" s="1" t="s">
        <v>46</v>
      </c>
      <c r="AF748" s="1" t="s">
        <v>47</v>
      </c>
    </row>
    <row r="749" spans="1:32" x14ac:dyDescent="0.25">
      <c r="A749" s="1">
        <v>749</v>
      </c>
      <c r="B749" s="1" t="s">
        <v>2387</v>
      </c>
      <c r="C749" s="2">
        <v>45412.77083333333</v>
      </c>
      <c r="D749" s="2">
        <v>45418.77083333333</v>
      </c>
      <c r="E749" s="1" t="s">
        <v>2388</v>
      </c>
      <c r="F749" s="1" t="s">
        <v>61</v>
      </c>
      <c r="G749" s="1" t="s">
        <v>114</v>
      </c>
      <c r="H749" s="1" t="s">
        <v>52</v>
      </c>
      <c r="I749" s="1" t="s">
        <v>53</v>
      </c>
      <c r="J749" s="1" t="s">
        <v>54</v>
      </c>
      <c r="K749" s="1" t="s">
        <v>39</v>
      </c>
      <c r="L749" s="1" t="s">
        <v>40</v>
      </c>
      <c r="M749" s="1" t="s">
        <v>2389</v>
      </c>
      <c r="N749" s="1" t="s">
        <v>58</v>
      </c>
      <c r="O749" s="1">
        <v>8</v>
      </c>
      <c r="P749" s="3">
        <v>1473.83</v>
      </c>
      <c r="Q749" s="4">
        <v>0.15</v>
      </c>
      <c r="R749" s="4">
        <v>0.15</v>
      </c>
      <c r="S749" s="3">
        <v>10022.04</v>
      </c>
      <c r="T749" s="3">
        <v>5576.98</v>
      </c>
      <c r="U749" s="3">
        <v>4445.06</v>
      </c>
      <c r="V749" s="1" t="s">
        <v>43</v>
      </c>
      <c r="W749" s="1" t="s">
        <v>44</v>
      </c>
      <c r="X749" s="3">
        <f>IF(OR(O749="",P749="",R749=""),"",O749*P749*(1-R749))</f>
        <v>10022.04</v>
      </c>
      <c r="Y749" s="3">
        <f>IF(OR(X749="",T749=""),"",X749-T749)</f>
        <v>4445.06</v>
      </c>
      <c r="Z749" s="4">
        <f>IFERROR(Y749/X749,"")</f>
        <v>0.4435</v>
      </c>
      <c r="AA749" s="1">
        <f>IF(OR(C749="",D749=""),"",D749-C749)</f>
        <v>6</v>
      </c>
      <c r="AB749" s="1">
        <f>IF(C749="","",MONTH(C749))</f>
        <v>5</v>
      </c>
      <c r="AC749" s="1">
        <f>IF(C749="","",YEAR(C749))</f>
        <v>2024</v>
      </c>
      <c r="AD749" s="1" t="s">
        <v>45</v>
      </c>
      <c r="AE749" s="1" t="s">
        <v>46</v>
      </c>
      <c r="AF749" s="1" t="s">
        <v>47</v>
      </c>
    </row>
    <row r="750" spans="1:32" x14ac:dyDescent="0.25">
      <c r="A750" s="1">
        <v>750</v>
      </c>
      <c r="B750" s="1" t="s">
        <v>2390</v>
      </c>
      <c r="C750" s="2">
        <v>45441.77083333333</v>
      </c>
      <c r="D750" s="2">
        <v>45441.77083333333</v>
      </c>
      <c r="E750" s="1" t="s">
        <v>2391</v>
      </c>
      <c r="F750" s="1" t="s">
        <v>186</v>
      </c>
      <c r="G750" s="1" t="s">
        <v>114</v>
      </c>
      <c r="H750" s="1" t="s">
        <v>36</v>
      </c>
      <c r="I750" s="1" t="s">
        <v>266</v>
      </c>
      <c r="J750" s="1" t="s">
        <v>267</v>
      </c>
      <c r="K750" s="1" t="s">
        <v>93</v>
      </c>
      <c r="L750" s="1" t="s">
        <v>196</v>
      </c>
      <c r="M750" s="1" t="s">
        <v>2392</v>
      </c>
      <c r="N750" s="1" t="s">
        <v>42</v>
      </c>
      <c r="O750" s="1">
        <v>1</v>
      </c>
      <c r="P750" s="3">
        <v>3848.04</v>
      </c>
      <c r="Q750" s="4">
        <v>0.25</v>
      </c>
      <c r="R750" s="4">
        <v>0.25</v>
      </c>
      <c r="S750" s="3">
        <v>2886.03</v>
      </c>
      <c r="T750" s="3">
        <v>2064.83</v>
      </c>
      <c r="U750" s="3">
        <v>821.2</v>
      </c>
      <c r="V750" s="1" t="s">
        <v>43</v>
      </c>
      <c r="W750" s="1" t="s">
        <v>44</v>
      </c>
      <c r="X750" s="3">
        <f>IF(OR(O750="",P750="",R750=""),"",O750*P750*(1-R750))</f>
        <v>2886.03</v>
      </c>
      <c r="Y750" s="3">
        <f>IF(OR(X750="",T750=""),"",X750-T750)</f>
        <v>821.2</v>
      </c>
      <c r="Z750" s="4">
        <f>IFERROR(Y750/X750,"")</f>
        <v>0.2845</v>
      </c>
      <c r="AA750" s="1">
        <f>IF(OR(C750="",D750=""),"",D750-C750)</f>
        <v>0</v>
      </c>
      <c r="AB750" s="1">
        <f>IF(C750="","",MONTH(C750))</f>
        <v>5</v>
      </c>
      <c r="AC750" s="1">
        <f>IF(C750="","",YEAR(C750))</f>
        <v>2024</v>
      </c>
      <c r="AD750" s="1" t="s">
        <v>45</v>
      </c>
      <c r="AE750" s="1" t="s">
        <v>46</v>
      </c>
      <c r="AF750" s="1" t="s">
        <v>47</v>
      </c>
    </row>
    <row r="751" spans="1:32" x14ac:dyDescent="0.25">
      <c r="A751" s="1">
        <v>751</v>
      </c>
      <c r="B751" s="1" t="s">
        <v>2393</v>
      </c>
      <c r="C751" s="2">
        <v>45371.77083333333</v>
      </c>
      <c r="D751" s="2">
        <v>45375.77083333333</v>
      </c>
      <c r="E751" s="1" t="s">
        <v>2394</v>
      </c>
      <c r="F751" s="1" t="s">
        <v>108</v>
      </c>
      <c r="G751" s="1" t="s">
        <v>114</v>
      </c>
      <c r="H751" s="1" t="s">
        <v>52</v>
      </c>
      <c r="I751" s="1" t="s">
        <v>191</v>
      </c>
      <c r="J751" s="1" t="s">
        <v>192</v>
      </c>
      <c r="K751" s="1" t="s">
        <v>93</v>
      </c>
      <c r="L751" s="1" t="s">
        <v>305</v>
      </c>
      <c r="M751" s="1" t="s">
        <v>2395</v>
      </c>
      <c r="N751" s="1" t="s">
        <v>76</v>
      </c>
      <c r="O751" s="1">
        <v>1</v>
      </c>
      <c r="P751" s="3">
        <v>1716.7</v>
      </c>
      <c r="Q751" s="4">
        <v>0.15</v>
      </c>
      <c r="R751" s="4">
        <v>0.15</v>
      </c>
      <c r="S751" s="3">
        <v>1459.19</v>
      </c>
      <c r="T751" s="3">
        <v>1055.79</v>
      </c>
      <c r="U751" s="3">
        <v>403.4</v>
      </c>
      <c r="V751" s="1" t="s">
        <v>43</v>
      </c>
      <c r="W751" s="1" t="s">
        <v>44</v>
      </c>
      <c r="X751" s="3">
        <f>IF(OR(O751="",P751="",R751=""),"",O751*P751*(1-R751))</f>
        <v>1459.2</v>
      </c>
      <c r="Y751" s="3">
        <f>IF(OR(X751="",T751=""),"",X751-T751)</f>
        <v>403.41</v>
      </c>
      <c r="Z751" s="4">
        <f>IFERROR(Y751/X751,"")</f>
        <v>0.2765</v>
      </c>
      <c r="AA751" s="1">
        <f>IF(OR(C751="",D751=""),"",D751-C751)</f>
        <v>4</v>
      </c>
      <c r="AB751" s="1">
        <f>IF(C751="","",MONTH(C751))</f>
        <v>3</v>
      </c>
      <c r="AC751" s="1">
        <f>IF(C751="","",YEAR(C751))</f>
        <v>2024</v>
      </c>
      <c r="AD751" s="1" t="s">
        <v>45</v>
      </c>
      <c r="AE751" s="1" t="s">
        <v>46</v>
      </c>
      <c r="AF751" s="1" t="s">
        <v>47</v>
      </c>
    </row>
    <row r="752" spans="1:32" x14ac:dyDescent="0.25">
      <c r="A752" s="1">
        <v>752</v>
      </c>
      <c r="B752" s="1" t="s">
        <v>2396</v>
      </c>
      <c r="C752" s="2">
        <v>45809.77083333333</v>
      </c>
      <c r="D752" s="2">
        <v>45809.77083333333</v>
      </c>
      <c r="E752" s="1" t="s">
        <v>2397</v>
      </c>
      <c r="F752" s="1" t="s">
        <v>149</v>
      </c>
      <c r="G752" s="1" t="s">
        <v>114</v>
      </c>
      <c r="H752" s="1" t="s">
        <v>71</v>
      </c>
      <c r="I752" s="1" t="s">
        <v>72</v>
      </c>
      <c r="J752" s="1" t="s">
        <v>73</v>
      </c>
      <c r="K752" s="1" t="s">
        <v>93</v>
      </c>
      <c r="L752" s="1" t="s">
        <v>94</v>
      </c>
      <c r="M752" s="1" t="s">
        <v>2398</v>
      </c>
      <c r="N752" s="1" t="s">
        <v>64</v>
      </c>
      <c r="O752" s="1">
        <v>8</v>
      </c>
      <c r="P752" s="3">
        <v>3925.93</v>
      </c>
      <c r="Q752" s="4">
        <v>0.15</v>
      </c>
      <c r="R752" s="4">
        <v>0.15</v>
      </c>
      <c r="S752" s="3">
        <v>26696.32</v>
      </c>
      <c r="T752" s="3">
        <v>22724.52</v>
      </c>
      <c r="U752" s="3">
        <v>3971.8</v>
      </c>
      <c r="V752" s="1" t="s">
        <v>43</v>
      </c>
      <c r="W752" s="1" t="s">
        <v>44</v>
      </c>
      <c r="X752" s="3">
        <f>IF(OR(O752="",P752="",R752=""),"",O752*P752*(1-R752))</f>
        <v>26696.32</v>
      </c>
      <c r="Y752" s="3">
        <f>IF(OR(X752="",T752=""),"",X752-T752)</f>
        <v>3971.8</v>
      </c>
      <c r="Z752" s="4">
        <f>IFERROR(Y752/X752,"")</f>
        <v>0.1488</v>
      </c>
      <c r="AA752" s="1">
        <f>IF(OR(C752="",D752=""),"",D752-C752)</f>
        <v>0</v>
      </c>
      <c r="AB752" s="1">
        <f>IF(C752="","",MONTH(C752))</f>
        <v>6</v>
      </c>
      <c r="AC752" s="1">
        <f>IF(C752="","",YEAR(C752))</f>
        <v>2025</v>
      </c>
      <c r="AD752" s="1" t="s">
        <v>45</v>
      </c>
      <c r="AE752" s="1" t="s">
        <v>46</v>
      </c>
      <c r="AF752" s="1" t="s">
        <v>47</v>
      </c>
    </row>
    <row r="753" spans="1:32" s="15" customFormat="1" x14ac:dyDescent="0.25">
      <c r="A753" s="16">
        <v>753</v>
      </c>
      <c r="B753" s="16" t="s">
        <v>2399</v>
      </c>
      <c r="C753" s="17">
        <v>45855.77083333333</v>
      </c>
      <c r="D753" s="17">
        <v>45856.77083333333</v>
      </c>
      <c r="E753" s="16" t="s">
        <v>2400</v>
      </c>
      <c r="F753" s="16" t="s">
        <v>135</v>
      </c>
      <c r="G753" s="16" t="s">
        <v>114</v>
      </c>
      <c r="H753" s="16" t="s">
        <v>232</v>
      </c>
      <c r="I753" s="16" t="s">
        <v>157</v>
      </c>
      <c r="J753" s="16" t="s">
        <v>158</v>
      </c>
      <c r="K753" s="16" t="s">
        <v>93</v>
      </c>
      <c r="L753" s="16" t="s">
        <v>305</v>
      </c>
      <c r="M753" s="16" t="s">
        <v>2401</v>
      </c>
      <c r="N753" s="16" t="s">
        <v>232</v>
      </c>
      <c r="O753" s="16">
        <v>3</v>
      </c>
      <c r="P753" s="18">
        <v>2963.25</v>
      </c>
      <c r="Q753" s="19">
        <v>0.05</v>
      </c>
      <c r="R753" s="19">
        <v>0.05</v>
      </c>
      <c r="S753" s="18">
        <v>8445.26</v>
      </c>
      <c r="T753" s="18">
        <v>6937.6</v>
      </c>
      <c r="U753" s="18">
        <v>1507.66</v>
      </c>
      <c r="V753" s="16" t="s">
        <v>43</v>
      </c>
      <c r="W753" s="16" t="s">
        <v>44</v>
      </c>
      <c r="X753" s="18">
        <f>IF(OR(O753="",P753="",R753=""),"",O753*P753*(1-R753))</f>
        <v>8445.26</v>
      </c>
      <c r="Y753" s="18">
        <f>IF(OR(X753="",T753=""),"",X753-T753)</f>
        <v>1507.66</v>
      </c>
      <c r="Z753" s="19">
        <f>IFERROR(Y753/X753,"")</f>
        <v>0.1785</v>
      </c>
      <c r="AA753" s="16">
        <f>IF(OR(C753="",D753=""),"",D753-C753)</f>
        <v>1</v>
      </c>
      <c r="AB753" s="16">
        <f>IF(C753="","",MONTH(C753))</f>
        <v>7</v>
      </c>
      <c r="AC753" s="16">
        <f>IF(C753="","",YEAR(C753))</f>
        <v>2025</v>
      </c>
      <c r="AD753" s="16" t="s">
        <v>86</v>
      </c>
      <c r="AE753" s="16" t="s">
        <v>46</v>
      </c>
      <c r="AF753" s="16" t="s">
        <v>2402</v>
      </c>
    </row>
    <row r="754" spans="1:32" x14ac:dyDescent="0.25">
      <c r="A754" s="1">
        <v>754</v>
      </c>
      <c r="B754" s="1" t="s">
        <v>2403</v>
      </c>
      <c r="C754" s="2">
        <v>45374.77083333333</v>
      </c>
      <c r="D754" s="2">
        <v>45377.77083333333</v>
      </c>
      <c r="E754" s="1" t="s">
        <v>2404</v>
      </c>
      <c r="F754" s="1" t="s">
        <v>108</v>
      </c>
      <c r="G754" s="1" t="s">
        <v>109</v>
      </c>
      <c r="H754" s="1" t="s">
        <v>80</v>
      </c>
      <c r="I754" s="1" t="s">
        <v>206</v>
      </c>
      <c r="J754" s="1" t="s">
        <v>207</v>
      </c>
      <c r="K754" s="1" t="s">
        <v>39</v>
      </c>
      <c r="L754" s="1" t="s">
        <v>145</v>
      </c>
      <c r="M754" s="1" t="s">
        <v>2405</v>
      </c>
      <c r="N754" s="1" t="s">
        <v>64</v>
      </c>
      <c r="O754" s="1">
        <v>5</v>
      </c>
      <c r="P754" s="3">
        <v>2465.22</v>
      </c>
      <c r="Q754" s="4">
        <v>0.05</v>
      </c>
      <c r="R754" s="4">
        <v>0.05</v>
      </c>
      <c r="S754" s="3">
        <v>11709.79</v>
      </c>
      <c r="T754" s="3">
        <v>8372.29</v>
      </c>
      <c r="U754" s="3">
        <v>3337.5</v>
      </c>
      <c r="V754" s="1" t="s">
        <v>43</v>
      </c>
      <c r="W754" s="1" t="s">
        <v>44</v>
      </c>
      <c r="X754" s="3">
        <f>IF(OR(O754="",P754="",R754=""),"",O754*P754*(1-R754))</f>
        <v>11709.79</v>
      </c>
      <c r="Y754" s="3">
        <f>IF(OR(X754="",T754=""),"",X754-T754)</f>
        <v>3337.5</v>
      </c>
      <c r="Z754" s="4">
        <f>IFERROR(Y754/X754,"")</f>
        <v>0.285</v>
      </c>
      <c r="AA754" s="1">
        <f>IF(OR(C754="",D754=""),"",D754-C754)</f>
        <v>3</v>
      </c>
      <c r="AB754" s="1">
        <f>IF(C754="","",MONTH(C754))</f>
        <v>3</v>
      </c>
      <c r="AC754" s="1">
        <f>IF(C754="","",YEAR(C754))</f>
        <v>2024</v>
      </c>
      <c r="AD754" s="1" t="s">
        <v>45</v>
      </c>
      <c r="AE754" s="1" t="s">
        <v>46</v>
      </c>
      <c r="AF754" s="1" t="s">
        <v>47</v>
      </c>
    </row>
    <row r="755" spans="1:32" s="10" customFormat="1" x14ac:dyDescent="0.25">
      <c r="A755" s="11">
        <v>755</v>
      </c>
      <c r="B755" s="11" t="s">
        <v>2406</v>
      </c>
      <c r="C755" s="12">
        <v>45514.77083333333</v>
      </c>
      <c r="D755" s="12">
        <v>45513.77083333333</v>
      </c>
      <c r="E755" s="11" t="s">
        <v>2407</v>
      </c>
      <c r="F755" s="11" t="s">
        <v>108</v>
      </c>
      <c r="G755" s="11" t="s">
        <v>109</v>
      </c>
      <c r="H755" s="11" t="s">
        <v>36</v>
      </c>
      <c r="I755" s="11" t="s">
        <v>384</v>
      </c>
      <c r="J755" s="11" t="s">
        <v>385</v>
      </c>
      <c r="K755" s="11" t="s">
        <v>55</v>
      </c>
      <c r="L755" s="11" t="s">
        <v>74</v>
      </c>
      <c r="M755" s="11" t="s">
        <v>2408</v>
      </c>
      <c r="N755" s="11" t="s">
        <v>42</v>
      </c>
      <c r="O755" s="11">
        <v>3</v>
      </c>
      <c r="P755" s="13">
        <v>1017.22</v>
      </c>
      <c r="Q755" s="14">
        <v>0.15</v>
      </c>
      <c r="R755" s="14">
        <v>0.15</v>
      </c>
      <c r="S755" s="13">
        <v>2593.91</v>
      </c>
      <c r="T755" s="13">
        <v>1848.48</v>
      </c>
      <c r="U755" s="13">
        <v>745.43</v>
      </c>
      <c r="V755" s="11" t="s">
        <v>178</v>
      </c>
      <c r="W755" s="11" t="s">
        <v>122</v>
      </c>
      <c r="X755" s="13">
        <f>IF(OR(O755="",P755="",R755=""),"",O755*P755*(1-R755))</f>
        <v>2593.91</v>
      </c>
      <c r="Y755" s="13">
        <f>IF(OR(X755="",T755=""),"",X755-T755)</f>
        <v>745.43</v>
      </c>
      <c r="Z755" s="14">
        <f>IFERROR(Y755/X755,"")</f>
        <v>0.2874</v>
      </c>
      <c r="AA755" s="11">
        <f>IF(OR(C755="",D755=""),"",D755-C755)</f>
        <v>-1</v>
      </c>
      <c r="AB755" s="11">
        <f>IF(C755="","",MONTH(C755))</f>
        <v>8</v>
      </c>
      <c r="AC755" s="11">
        <f>IF(C755="","",YEAR(C755))</f>
        <v>2024</v>
      </c>
      <c r="AD755" s="11" t="s">
        <v>65</v>
      </c>
      <c r="AE755" s="11" t="s">
        <v>66</v>
      </c>
      <c r="AF755" s="11" t="s">
        <v>2409</v>
      </c>
    </row>
    <row r="756" spans="1:32" x14ac:dyDescent="0.25">
      <c r="A756" s="1">
        <v>756</v>
      </c>
      <c r="B756" s="1" t="s">
        <v>2410</v>
      </c>
      <c r="C756" s="2">
        <v>45811.77083333333</v>
      </c>
      <c r="D756" s="2">
        <v>45811.77083333333</v>
      </c>
      <c r="E756" s="1" t="s">
        <v>2411</v>
      </c>
      <c r="F756" s="1" t="s">
        <v>98</v>
      </c>
      <c r="G756" s="1" t="s">
        <v>109</v>
      </c>
      <c r="H756" s="1" t="s">
        <v>71</v>
      </c>
      <c r="I756" s="1" t="s">
        <v>211</v>
      </c>
      <c r="J756" s="1" t="s">
        <v>212</v>
      </c>
      <c r="K756" s="1" t="s">
        <v>39</v>
      </c>
      <c r="L756" s="1" t="s">
        <v>145</v>
      </c>
      <c r="M756" s="1" t="s">
        <v>2412</v>
      </c>
      <c r="N756" s="1" t="s">
        <v>76</v>
      </c>
      <c r="O756" s="1">
        <v>4</v>
      </c>
      <c r="P756" s="3">
        <v>891.34</v>
      </c>
      <c r="Q756" s="4">
        <v>0.25</v>
      </c>
      <c r="R756" s="4">
        <v>0.25</v>
      </c>
      <c r="S756" s="3">
        <v>2674.02</v>
      </c>
      <c r="T756" s="3">
        <v>2207.57</v>
      </c>
      <c r="U756" s="3">
        <v>466.45</v>
      </c>
      <c r="V756" s="1" t="s">
        <v>43</v>
      </c>
      <c r="W756" s="1" t="s">
        <v>44</v>
      </c>
      <c r="X756" s="3">
        <f>IF(OR(O756="",P756="",R756=""),"",O756*P756*(1-R756))</f>
        <v>2674.02</v>
      </c>
      <c r="Y756" s="3">
        <f>IF(OR(X756="",T756=""),"",X756-T756)</f>
        <v>466.45</v>
      </c>
      <c r="Z756" s="4">
        <f>IFERROR(Y756/X756,"")</f>
        <v>0.1744</v>
      </c>
      <c r="AA756" s="1">
        <f>IF(OR(C756="",D756=""),"",D756-C756)</f>
        <v>0</v>
      </c>
      <c r="AB756" s="1">
        <f>IF(C756="","",MONTH(C756))</f>
        <v>6</v>
      </c>
      <c r="AC756" s="1">
        <f>IF(C756="","",YEAR(C756))</f>
        <v>2025</v>
      </c>
      <c r="AD756" s="1" t="s">
        <v>45</v>
      </c>
      <c r="AE756" s="1" t="s">
        <v>46</v>
      </c>
      <c r="AF756" s="1" t="s">
        <v>47</v>
      </c>
    </row>
    <row r="757" spans="1:32" x14ac:dyDescent="0.25">
      <c r="A757" s="1">
        <v>757</v>
      </c>
      <c r="B757" s="1" t="s">
        <v>2413</v>
      </c>
      <c r="C757" s="2">
        <v>45857.77083333333</v>
      </c>
      <c r="D757" s="2">
        <v>45861.77083333333</v>
      </c>
      <c r="E757" s="1" t="s">
        <v>2414</v>
      </c>
      <c r="F757" s="1" t="s">
        <v>135</v>
      </c>
      <c r="G757" s="1" t="s">
        <v>114</v>
      </c>
      <c r="H757" s="1" t="s">
        <v>80</v>
      </c>
      <c r="I757" s="1" t="s">
        <v>91</v>
      </c>
      <c r="J757" s="1" t="s">
        <v>92</v>
      </c>
      <c r="K757" s="1" t="s">
        <v>39</v>
      </c>
      <c r="L757" s="1" t="s">
        <v>145</v>
      </c>
      <c r="M757" s="1" t="s">
        <v>2415</v>
      </c>
      <c r="N757" s="1" t="s">
        <v>42</v>
      </c>
      <c r="O757" s="1">
        <v>5</v>
      </c>
      <c r="P757" s="3">
        <v>2481.74</v>
      </c>
      <c r="Q757" s="4">
        <v>0.2</v>
      </c>
      <c r="R757" s="4">
        <v>0.2</v>
      </c>
      <c r="S757" s="3">
        <v>9926.96</v>
      </c>
      <c r="T757" s="3">
        <v>7994.98</v>
      </c>
      <c r="U757" s="3">
        <v>1931.98</v>
      </c>
      <c r="V757" s="1" t="s">
        <v>43</v>
      </c>
      <c r="W757" s="1" t="s">
        <v>44</v>
      </c>
      <c r="X757" s="3">
        <f>IF(OR(O757="",P757="",R757=""),"",O757*P757*(1-R757))</f>
        <v>9926.96</v>
      </c>
      <c r="Y757" s="3">
        <f>IF(OR(X757="",T757=""),"",X757-T757)</f>
        <v>1931.98</v>
      </c>
      <c r="Z757" s="4">
        <f>IFERROR(Y757/X757,"")</f>
        <v>0.1946</v>
      </c>
      <c r="AA757" s="1">
        <f>IF(OR(C757="",D757=""),"",D757-C757)</f>
        <v>4</v>
      </c>
      <c r="AB757" s="1">
        <f>IF(C757="","",MONTH(C757))</f>
        <v>7</v>
      </c>
      <c r="AC757" s="1">
        <f>IF(C757="","",YEAR(C757))</f>
        <v>2025</v>
      </c>
      <c r="AD757" s="1" t="s">
        <v>45</v>
      </c>
      <c r="AE757" s="1" t="s">
        <v>46</v>
      </c>
      <c r="AF757" s="1" t="s">
        <v>47</v>
      </c>
    </row>
    <row r="758" spans="1:32" s="15" customFormat="1" x14ac:dyDescent="0.25">
      <c r="A758" s="16">
        <v>758</v>
      </c>
      <c r="B758" s="16" t="s">
        <v>2416</v>
      </c>
      <c r="C758" s="17">
        <v>45591.77083333333</v>
      </c>
      <c r="D758" s="17">
        <v>45596.77083333333</v>
      </c>
      <c r="E758" s="16" t="s">
        <v>2417</v>
      </c>
      <c r="F758" s="16" t="s">
        <v>163</v>
      </c>
      <c r="G758" s="16" t="s">
        <v>35</v>
      </c>
      <c r="H758" s="16" t="s">
        <v>36</v>
      </c>
      <c r="I758" s="16" t="s">
        <v>37</v>
      </c>
      <c r="J758" s="16" t="s">
        <v>38</v>
      </c>
      <c r="K758" s="16" t="s">
        <v>93</v>
      </c>
      <c r="L758" s="16" t="s">
        <v>94</v>
      </c>
      <c r="M758" s="16" t="s">
        <v>2418</v>
      </c>
      <c r="N758" s="16" t="s">
        <v>58</v>
      </c>
      <c r="O758" s="16">
        <v>7</v>
      </c>
      <c r="P758" s="18">
        <v>2177.1</v>
      </c>
      <c r="Q758" s="19">
        <v>0.2</v>
      </c>
      <c r="R758" s="19">
        <v>0.2</v>
      </c>
      <c r="S758" s="18">
        <v>12191.76</v>
      </c>
      <c r="T758" s="18">
        <v>10457.49</v>
      </c>
      <c r="U758" s="18">
        <v>1734.27</v>
      </c>
      <c r="V758" s="16" t="s">
        <v>43</v>
      </c>
      <c r="W758" s="16" t="s">
        <v>122</v>
      </c>
      <c r="X758" s="18">
        <f>IF(OR(O758="",P758="",R758=""),"",O758*P758*(1-R758))</f>
        <v>12191.76</v>
      </c>
      <c r="Y758" s="18">
        <f>IF(OR(X758="",T758=""),"",X758-T758)</f>
        <v>1734.27</v>
      </c>
      <c r="Z758" s="19">
        <f>IFERROR(Y758/X758,"")</f>
        <v>0.1422</v>
      </c>
      <c r="AA758" s="16">
        <f>IF(OR(C758="",D758=""),"",D758-C758)</f>
        <v>5</v>
      </c>
      <c r="AB758" s="16">
        <f>IF(C758="","",MONTH(C758))</f>
        <v>10</v>
      </c>
      <c r="AC758" s="16">
        <f>IF(C758="","",YEAR(C758))</f>
        <v>2024</v>
      </c>
      <c r="AD758" s="16" t="s">
        <v>86</v>
      </c>
      <c r="AE758" s="16" t="s">
        <v>66</v>
      </c>
      <c r="AF758" s="16" t="s">
        <v>198</v>
      </c>
    </row>
    <row r="759" spans="1:32" s="15" customFormat="1" x14ac:dyDescent="0.25">
      <c r="A759" s="16">
        <v>759</v>
      </c>
      <c r="B759" s="16" t="s">
        <v>2419</v>
      </c>
      <c r="C759" s="17">
        <v>45869.77083333333</v>
      </c>
      <c r="D759" s="17">
        <v>45871.77083333333</v>
      </c>
      <c r="E759" s="16" t="s">
        <v>2420</v>
      </c>
      <c r="F759" s="16" t="s">
        <v>108</v>
      </c>
      <c r="G759" s="16" t="s">
        <v>51</v>
      </c>
      <c r="H759" s="16" t="s">
        <v>71</v>
      </c>
      <c r="I759" s="16" t="s">
        <v>211</v>
      </c>
      <c r="J759" s="16" t="s">
        <v>212</v>
      </c>
      <c r="K759" s="16" t="s">
        <v>55</v>
      </c>
      <c r="L759" s="16" t="s">
        <v>182</v>
      </c>
      <c r="M759" s="16" t="s">
        <v>2421</v>
      </c>
      <c r="N759" s="16" t="s">
        <v>76</v>
      </c>
      <c r="O759" s="16">
        <v>3</v>
      </c>
      <c r="P759" s="18">
        <v>1904.78</v>
      </c>
      <c r="Q759" s="19">
        <v>0.25</v>
      </c>
      <c r="R759" s="19">
        <v>0.25</v>
      </c>
      <c r="S759" s="18">
        <v>4285.76</v>
      </c>
      <c r="T759" s="18">
        <v>2386.33</v>
      </c>
      <c r="U759" s="18">
        <v>1899.43</v>
      </c>
      <c r="V759" s="16" t="s">
        <v>178</v>
      </c>
      <c r="W759" s="16" t="s">
        <v>85</v>
      </c>
      <c r="X759" s="18">
        <f>IF(OR(O759="",P759="",R759=""),"",O759*P759*(1-R759))</f>
        <v>4285.76</v>
      </c>
      <c r="Y759" s="18">
        <f>IF(OR(X759="",T759=""),"",X759-T759)</f>
        <v>1899.43</v>
      </c>
      <c r="Z759" s="19">
        <f>IFERROR(Y759/X759,"")</f>
        <v>0.4432</v>
      </c>
      <c r="AA759" s="16">
        <f>IF(OR(C759="",D759=""),"",D759-C759)</f>
        <v>2</v>
      </c>
      <c r="AB759" s="16">
        <f>IF(C759="","",MONTH(C759))</f>
        <v>8</v>
      </c>
      <c r="AC759" s="16">
        <f>IF(C759="","",YEAR(C759))</f>
        <v>2025</v>
      </c>
      <c r="AD759" s="16" t="s">
        <v>86</v>
      </c>
      <c r="AE759" s="16" t="s">
        <v>66</v>
      </c>
      <c r="AF759" s="16" t="s">
        <v>296</v>
      </c>
    </row>
    <row r="760" spans="1:32" x14ac:dyDescent="0.25">
      <c r="A760" s="1">
        <v>760</v>
      </c>
      <c r="B760" s="1" t="s">
        <v>2422</v>
      </c>
      <c r="C760" s="2">
        <v>45413.77083333333</v>
      </c>
      <c r="D760" s="2">
        <v>45421.77083333333</v>
      </c>
      <c r="E760" s="1" t="s">
        <v>2423</v>
      </c>
      <c r="F760" s="1" t="s">
        <v>149</v>
      </c>
      <c r="G760" s="1" t="s">
        <v>51</v>
      </c>
      <c r="H760" s="1" t="s">
        <v>71</v>
      </c>
      <c r="I760" s="1" t="s">
        <v>201</v>
      </c>
      <c r="J760" s="1" t="s">
        <v>202</v>
      </c>
      <c r="K760" s="1" t="s">
        <v>55</v>
      </c>
      <c r="L760" s="1" t="s">
        <v>83</v>
      </c>
      <c r="M760" s="1" t="s">
        <v>2424</v>
      </c>
      <c r="N760" s="1" t="s">
        <v>76</v>
      </c>
      <c r="O760" s="1">
        <v>1</v>
      </c>
      <c r="P760" s="3">
        <v>4166.91</v>
      </c>
      <c r="Q760" s="4">
        <v>0</v>
      </c>
      <c r="R760" s="4">
        <v>0</v>
      </c>
      <c r="S760" s="3">
        <v>4166.91</v>
      </c>
      <c r="T760" s="3">
        <v>3412.63</v>
      </c>
      <c r="U760" s="3">
        <v>754.28</v>
      </c>
      <c r="V760" s="1" t="s">
        <v>43</v>
      </c>
      <c r="W760" s="1" t="s">
        <v>44</v>
      </c>
      <c r="X760" s="3">
        <f>IF(OR(O760="",P760="",R760=""),"",O760*P760*(1-R760))</f>
        <v>4166.91</v>
      </c>
      <c r="Y760" s="3">
        <f>IF(OR(X760="",T760=""),"",X760-T760)</f>
        <v>754.28</v>
      </c>
      <c r="Z760" s="4">
        <f>IFERROR(Y760/X760,"")</f>
        <v>0.181</v>
      </c>
      <c r="AA760" s="1">
        <f>IF(OR(C760="",D760=""),"",D760-C760)</f>
        <v>8</v>
      </c>
      <c r="AB760" s="1">
        <f>IF(C760="","",MONTH(C760))</f>
        <v>5</v>
      </c>
      <c r="AC760" s="1">
        <f>IF(C760="","",YEAR(C760))</f>
        <v>2024</v>
      </c>
      <c r="AD760" s="1" t="s">
        <v>45</v>
      </c>
      <c r="AE760" s="1" t="s">
        <v>46</v>
      </c>
      <c r="AF760" s="1" t="s">
        <v>47</v>
      </c>
    </row>
    <row r="761" spans="1:32" x14ac:dyDescent="0.25">
      <c r="A761" s="1">
        <v>761</v>
      </c>
      <c r="B761" s="1" t="s">
        <v>2425</v>
      </c>
      <c r="C761" s="2">
        <v>45491.77083333333</v>
      </c>
      <c r="D761" s="2">
        <v>45498.77083333333</v>
      </c>
      <c r="E761" s="1" t="s">
        <v>2426</v>
      </c>
      <c r="F761" s="1" t="s">
        <v>70</v>
      </c>
      <c r="G761" s="1" t="s">
        <v>114</v>
      </c>
      <c r="H761" s="1" t="s">
        <v>71</v>
      </c>
      <c r="I761" s="1" t="s">
        <v>201</v>
      </c>
      <c r="J761" s="1" t="s">
        <v>202</v>
      </c>
      <c r="K761" s="1" t="s">
        <v>55</v>
      </c>
      <c r="L761" s="1" t="s">
        <v>56</v>
      </c>
      <c r="M761" s="1" t="s">
        <v>2427</v>
      </c>
      <c r="N761" s="1" t="s">
        <v>42</v>
      </c>
      <c r="O761" s="1">
        <v>5</v>
      </c>
      <c r="P761" s="3">
        <v>3986.01</v>
      </c>
      <c r="Q761" s="4">
        <v>0.25</v>
      </c>
      <c r="R761" s="4">
        <v>0.25</v>
      </c>
      <c r="S761" s="3">
        <v>14947.54</v>
      </c>
      <c r="T761" s="3">
        <v>9438.46</v>
      </c>
      <c r="U761" s="3">
        <v>5509.08</v>
      </c>
      <c r="V761" s="1" t="s">
        <v>43</v>
      </c>
      <c r="W761" s="1" t="s">
        <v>44</v>
      </c>
      <c r="X761" s="3">
        <f>IF(OR(O761="",P761="",R761=""),"",O761*P761*(1-R761))</f>
        <v>14947.54</v>
      </c>
      <c r="Y761" s="3">
        <f>IF(OR(X761="",T761=""),"",X761-T761)</f>
        <v>5509.08</v>
      </c>
      <c r="Z761" s="4">
        <f>IFERROR(Y761/X761,"")</f>
        <v>0.3686</v>
      </c>
      <c r="AA761" s="1">
        <f>IF(OR(C761="",D761=""),"",D761-C761)</f>
        <v>7</v>
      </c>
      <c r="AB761" s="1">
        <f>IF(C761="","",MONTH(C761))</f>
        <v>7</v>
      </c>
      <c r="AC761" s="1">
        <f>IF(C761="","",YEAR(C761))</f>
        <v>2024</v>
      </c>
      <c r="AD761" s="1" t="s">
        <v>45</v>
      </c>
      <c r="AE761" s="1" t="s">
        <v>46</v>
      </c>
      <c r="AF761" s="1" t="s">
        <v>47</v>
      </c>
    </row>
    <row r="762" spans="1:32" s="15" customFormat="1" x14ac:dyDescent="0.25">
      <c r="A762" s="16">
        <v>762</v>
      </c>
      <c r="B762" s="16" t="s">
        <v>2428</v>
      </c>
      <c r="C762" s="17">
        <v>45531.77083333333</v>
      </c>
      <c r="D762" s="17">
        <v>45536.77083333333</v>
      </c>
      <c r="E762" s="16" t="s">
        <v>2429</v>
      </c>
      <c r="F762" s="16" t="s">
        <v>108</v>
      </c>
      <c r="G762" s="16" t="s">
        <v>114</v>
      </c>
      <c r="H762" s="16" t="s">
        <v>52</v>
      </c>
      <c r="I762" s="16" t="s">
        <v>191</v>
      </c>
      <c r="J762" s="16" t="s">
        <v>192</v>
      </c>
      <c r="K762" s="16" t="s">
        <v>39</v>
      </c>
      <c r="L762" s="16" t="s">
        <v>62</v>
      </c>
      <c r="M762" s="16" t="s">
        <v>2430</v>
      </c>
      <c r="N762" s="16" t="s">
        <v>42</v>
      </c>
      <c r="O762" s="16">
        <v>4</v>
      </c>
      <c r="P762" s="18">
        <v>3365.53</v>
      </c>
      <c r="Q762" s="19">
        <v>0</v>
      </c>
      <c r="R762" s="19">
        <v>0</v>
      </c>
      <c r="S762" s="18">
        <v>13462.12</v>
      </c>
      <c r="T762" s="18">
        <v>7600.63</v>
      </c>
      <c r="U762" s="18">
        <v>5861.49</v>
      </c>
      <c r="V762" s="16" t="s">
        <v>131</v>
      </c>
      <c r="W762" s="16" t="s">
        <v>122</v>
      </c>
      <c r="X762" s="18">
        <f>IF(OR(O762="",P762="",R762=""),"",O762*P762*(1-R762))</f>
        <v>13462.12</v>
      </c>
      <c r="Y762" s="18">
        <f>IF(OR(X762="",T762=""),"",X762-T762)</f>
        <v>5861.49</v>
      </c>
      <c r="Z762" s="19">
        <f>IFERROR(Y762/X762,"")</f>
        <v>0.4354</v>
      </c>
      <c r="AA762" s="16">
        <f>IF(OR(C762="",D762=""),"",D762-C762)</f>
        <v>5</v>
      </c>
      <c r="AB762" s="16">
        <f>IF(C762="","",MONTH(C762))</f>
        <v>8</v>
      </c>
      <c r="AC762" s="16">
        <f>IF(C762="","",YEAR(C762))</f>
        <v>2024</v>
      </c>
      <c r="AD762" s="16" t="s">
        <v>86</v>
      </c>
      <c r="AE762" s="16" t="s">
        <v>66</v>
      </c>
      <c r="AF762" s="16" t="s">
        <v>132</v>
      </c>
    </row>
    <row r="763" spans="1:32" x14ac:dyDescent="0.25">
      <c r="A763" s="1">
        <v>763</v>
      </c>
      <c r="B763" s="1" t="s">
        <v>2431</v>
      </c>
      <c r="C763" s="2">
        <v>45895.77083333333</v>
      </c>
      <c r="D763" s="2">
        <v>45899.77083333333</v>
      </c>
      <c r="E763" s="1" t="s">
        <v>2432</v>
      </c>
      <c r="F763" s="1" t="s">
        <v>61</v>
      </c>
      <c r="G763" s="1" t="s">
        <v>35</v>
      </c>
      <c r="H763" s="1" t="s">
        <v>71</v>
      </c>
      <c r="I763" s="1" t="s">
        <v>201</v>
      </c>
      <c r="J763" s="1" t="s">
        <v>202</v>
      </c>
      <c r="K763" s="1" t="s">
        <v>93</v>
      </c>
      <c r="L763" s="1" t="s">
        <v>305</v>
      </c>
      <c r="M763" s="1" t="s">
        <v>2433</v>
      </c>
      <c r="N763" s="1" t="s">
        <v>64</v>
      </c>
      <c r="O763" s="1">
        <v>3</v>
      </c>
      <c r="P763" s="3">
        <v>2489.12</v>
      </c>
      <c r="Q763" s="4">
        <v>0</v>
      </c>
      <c r="R763" s="4">
        <v>0</v>
      </c>
      <c r="S763" s="3">
        <v>7467.36</v>
      </c>
      <c r="T763" s="3">
        <v>5010.61</v>
      </c>
      <c r="U763" s="3">
        <v>2456.75</v>
      </c>
      <c r="V763" s="1" t="s">
        <v>43</v>
      </c>
      <c r="W763" s="1" t="s">
        <v>44</v>
      </c>
      <c r="X763" s="3">
        <f>IF(OR(O763="",P763="",R763=""),"",O763*P763*(1-R763))</f>
        <v>7467.36</v>
      </c>
      <c r="Y763" s="3">
        <f>IF(OR(X763="",T763=""),"",X763-T763)</f>
        <v>2456.75</v>
      </c>
      <c r="Z763" s="4">
        <f>IFERROR(Y763/X763,"")</f>
        <v>0.329</v>
      </c>
      <c r="AA763" s="1">
        <f>IF(OR(C763="",D763=""),"",D763-C763)</f>
        <v>4</v>
      </c>
      <c r="AB763" s="1">
        <f>IF(C763="","",MONTH(C763))</f>
        <v>8</v>
      </c>
      <c r="AC763" s="1">
        <f>IF(C763="","",YEAR(C763))</f>
        <v>2025</v>
      </c>
      <c r="AD763" s="1" t="s">
        <v>45</v>
      </c>
      <c r="AE763" s="1" t="s">
        <v>46</v>
      </c>
      <c r="AF763" s="1" t="s">
        <v>47</v>
      </c>
    </row>
    <row r="764" spans="1:32" s="15" customFormat="1" x14ac:dyDescent="0.25">
      <c r="A764" s="16">
        <v>764</v>
      </c>
      <c r="B764" s="16" t="s">
        <v>2434</v>
      </c>
      <c r="C764" s="17">
        <v>45291.77083333333</v>
      </c>
      <c r="D764" s="17">
        <v>45295.77083333333</v>
      </c>
      <c r="E764" s="16" t="s">
        <v>2435</v>
      </c>
      <c r="F764" s="16" t="s">
        <v>186</v>
      </c>
      <c r="G764" s="16" t="s">
        <v>109</v>
      </c>
      <c r="H764" s="16" t="s">
        <v>80</v>
      </c>
      <c r="I764" s="16" t="s">
        <v>91</v>
      </c>
      <c r="J764" s="16" t="s">
        <v>92</v>
      </c>
      <c r="K764" s="16" t="s">
        <v>93</v>
      </c>
      <c r="L764" s="16" t="s">
        <v>305</v>
      </c>
      <c r="M764" s="16" t="s">
        <v>2436</v>
      </c>
      <c r="N764" s="16" t="s">
        <v>42</v>
      </c>
      <c r="O764" s="16">
        <v>2</v>
      </c>
      <c r="P764" s="18">
        <v>3694.12</v>
      </c>
      <c r="Q764" s="19">
        <v>0.2</v>
      </c>
      <c r="R764" s="19">
        <v>0.2</v>
      </c>
      <c r="S764" s="18">
        <v>5910.59</v>
      </c>
      <c r="T764" s="18">
        <v>4775.44</v>
      </c>
      <c r="U764" s="18">
        <v>1135.15</v>
      </c>
      <c r="V764" s="16" t="s">
        <v>121</v>
      </c>
      <c r="W764" s="16" t="s">
        <v>122</v>
      </c>
      <c r="X764" s="18">
        <f>IF(OR(O764="",P764="",R764=""),"",O764*P764*(1-R764))</f>
        <v>5910.59</v>
      </c>
      <c r="Y764" s="18">
        <f>IF(OR(X764="",T764=""),"",X764-T764)</f>
        <v>1135.15</v>
      </c>
      <c r="Z764" s="19">
        <f>IFERROR(Y764/X764,"")</f>
        <v>0.1921</v>
      </c>
      <c r="AA764" s="16">
        <f>IF(OR(C764="",D764=""),"",D764-C764)</f>
        <v>4</v>
      </c>
      <c r="AB764" s="16">
        <f>IF(C764="","",MONTH(C764))</f>
        <v>1</v>
      </c>
      <c r="AC764" s="16">
        <f>IF(C764="","",YEAR(C764))</f>
        <v>2024</v>
      </c>
      <c r="AD764" s="16" t="s">
        <v>86</v>
      </c>
      <c r="AE764" s="16" t="s">
        <v>66</v>
      </c>
      <c r="AF764" s="16" t="s">
        <v>123</v>
      </c>
    </row>
    <row r="765" spans="1:32" x14ac:dyDescent="0.25">
      <c r="A765" s="1">
        <v>765</v>
      </c>
      <c r="B765" s="1" t="s">
        <v>2437</v>
      </c>
      <c r="C765" s="2">
        <v>45891.77083333333</v>
      </c>
      <c r="D765" s="2">
        <v>45893.77083333333</v>
      </c>
      <c r="E765" s="1" t="s">
        <v>2438</v>
      </c>
      <c r="F765" s="1" t="s">
        <v>186</v>
      </c>
      <c r="G765" s="1" t="s">
        <v>35</v>
      </c>
      <c r="H765" s="1" t="s">
        <v>36</v>
      </c>
      <c r="I765" s="1" t="s">
        <v>37</v>
      </c>
      <c r="J765" s="1" t="s">
        <v>38</v>
      </c>
      <c r="K765" s="1" t="s">
        <v>55</v>
      </c>
      <c r="L765" s="1" t="s">
        <v>74</v>
      </c>
      <c r="M765" s="1" t="s">
        <v>2439</v>
      </c>
      <c r="N765" s="1" t="s">
        <v>58</v>
      </c>
      <c r="O765" s="1">
        <v>6</v>
      </c>
      <c r="P765" s="3">
        <v>2742.48</v>
      </c>
      <c r="Q765" s="4">
        <v>0</v>
      </c>
      <c r="R765" s="4">
        <v>0</v>
      </c>
      <c r="S765" s="3">
        <v>16454.88</v>
      </c>
      <c r="T765" s="3">
        <v>12081.54</v>
      </c>
      <c r="U765" s="3">
        <v>4373.34</v>
      </c>
      <c r="V765" s="1" t="s">
        <v>43</v>
      </c>
      <c r="W765" s="1" t="s">
        <v>44</v>
      </c>
      <c r="X765" s="3">
        <f>IF(OR(O765="",P765="",R765=""),"",O765*P765*(1-R765))</f>
        <v>16454.88</v>
      </c>
      <c r="Y765" s="3">
        <f>IF(OR(X765="",T765=""),"",X765-T765)</f>
        <v>4373.34</v>
      </c>
      <c r="Z765" s="4">
        <f>IFERROR(Y765/X765,"")</f>
        <v>0.2658</v>
      </c>
      <c r="AA765" s="1">
        <f>IF(OR(C765="",D765=""),"",D765-C765)</f>
        <v>2</v>
      </c>
      <c r="AB765" s="1">
        <f>IF(C765="","",MONTH(C765))</f>
        <v>8</v>
      </c>
      <c r="AC765" s="1">
        <f>IF(C765="","",YEAR(C765))</f>
        <v>2025</v>
      </c>
      <c r="AD765" s="1" t="s">
        <v>45</v>
      </c>
      <c r="AE765" s="1" t="s">
        <v>46</v>
      </c>
      <c r="AF765" s="1" t="s">
        <v>47</v>
      </c>
    </row>
    <row r="766" spans="1:32" x14ac:dyDescent="0.25">
      <c r="A766" s="1">
        <v>766</v>
      </c>
      <c r="B766" s="1" t="s">
        <v>2440</v>
      </c>
      <c r="C766" s="2">
        <v>45759.77083333333</v>
      </c>
      <c r="D766" s="2">
        <v>45759.77083333333</v>
      </c>
      <c r="E766" s="1" t="s">
        <v>934</v>
      </c>
      <c r="F766" s="1" t="s">
        <v>135</v>
      </c>
      <c r="G766" s="1" t="s">
        <v>109</v>
      </c>
      <c r="H766" s="1" t="s">
        <v>71</v>
      </c>
      <c r="I766" s="1" t="s">
        <v>211</v>
      </c>
      <c r="J766" s="1" t="s">
        <v>212</v>
      </c>
      <c r="K766" s="1" t="s">
        <v>55</v>
      </c>
      <c r="L766" s="1" t="s">
        <v>182</v>
      </c>
      <c r="M766" s="1" t="s">
        <v>2441</v>
      </c>
      <c r="N766" s="1" t="s">
        <v>64</v>
      </c>
      <c r="O766" s="1">
        <v>6</v>
      </c>
      <c r="P766" s="3">
        <v>4414</v>
      </c>
      <c r="Q766" s="4">
        <v>0.05</v>
      </c>
      <c r="R766" s="4">
        <v>0.05</v>
      </c>
      <c r="S766" s="3">
        <v>25159.8</v>
      </c>
      <c r="T766" s="3">
        <v>21606.83</v>
      </c>
      <c r="U766" s="3">
        <v>3552.97</v>
      </c>
      <c r="V766" s="1" t="s">
        <v>43</v>
      </c>
      <c r="W766" s="1" t="s">
        <v>44</v>
      </c>
      <c r="X766" s="3">
        <f>IF(OR(O766="",P766="",R766=""),"",O766*P766*(1-R766))</f>
        <v>25159.8</v>
      </c>
      <c r="Y766" s="3">
        <f>IF(OR(X766="",T766=""),"",X766-T766)</f>
        <v>3552.97</v>
      </c>
      <c r="Z766" s="4">
        <f>IFERROR(Y766/X766,"")</f>
        <v>0.1412</v>
      </c>
      <c r="AA766" s="1">
        <f>IF(OR(C766="",D766=""),"",D766-C766)</f>
        <v>0</v>
      </c>
      <c r="AB766" s="1">
        <f>IF(C766="","",MONTH(C766))</f>
        <v>4</v>
      </c>
      <c r="AC766" s="1">
        <f>IF(C766="","",YEAR(C766))</f>
        <v>2025</v>
      </c>
      <c r="AD766" s="1" t="s">
        <v>45</v>
      </c>
      <c r="AE766" s="1" t="s">
        <v>46</v>
      </c>
      <c r="AF766" s="1" t="s">
        <v>47</v>
      </c>
    </row>
    <row r="767" spans="1:32" x14ac:dyDescent="0.25">
      <c r="A767" s="1">
        <v>767</v>
      </c>
      <c r="B767" s="1" t="s">
        <v>2442</v>
      </c>
      <c r="C767" s="2">
        <v>45836.77083333333</v>
      </c>
      <c r="D767" s="2">
        <v>45840.77083333333</v>
      </c>
      <c r="E767" s="1" t="s">
        <v>2443</v>
      </c>
      <c r="F767" s="1" t="s">
        <v>90</v>
      </c>
      <c r="G767" s="1" t="s">
        <v>109</v>
      </c>
      <c r="H767" s="1" t="s">
        <v>52</v>
      </c>
      <c r="I767" s="1" t="s">
        <v>258</v>
      </c>
      <c r="J767" s="1" t="s">
        <v>259</v>
      </c>
      <c r="K767" s="1" t="s">
        <v>39</v>
      </c>
      <c r="L767" s="1" t="s">
        <v>110</v>
      </c>
      <c r="M767" s="1" t="s">
        <v>2444</v>
      </c>
      <c r="N767" s="1" t="s">
        <v>64</v>
      </c>
      <c r="O767" s="1">
        <v>3</v>
      </c>
      <c r="P767" s="3">
        <v>608.14</v>
      </c>
      <c r="Q767" s="4">
        <v>0</v>
      </c>
      <c r="R767" s="4">
        <v>0</v>
      </c>
      <c r="S767" s="3">
        <v>1824.42</v>
      </c>
      <c r="T767" s="3">
        <v>1214.87</v>
      </c>
      <c r="U767" s="3">
        <v>609.55</v>
      </c>
      <c r="V767" s="1" t="s">
        <v>43</v>
      </c>
      <c r="W767" s="1" t="s">
        <v>44</v>
      </c>
      <c r="X767" s="3">
        <f>IF(OR(O767="",P767="",R767=""),"",O767*P767*(1-R767))</f>
        <v>1824.42</v>
      </c>
      <c r="Y767" s="3">
        <f>IF(OR(X767="",T767=""),"",X767-T767)</f>
        <v>609.55</v>
      </c>
      <c r="Z767" s="4">
        <f>IFERROR(Y767/X767,"")</f>
        <v>0.3341</v>
      </c>
      <c r="AA767" s="1">
        <f>IF(OR(C767="",D767=""),"",D767-C767)</f>
        <v>4</v>
      </c>
      <c r="AB767" s="1">
        <f>IF(C767="","",MONTH(C767))</f>
        <v>6</v>
      </c>
      <c r="AC767" s="1">
        <f>IF(C767="","",YEAR(C767))</f>
        <v>2025</v>
      </c>
      <c r="AD767" s="1" t="s">
        <v>45</v>
      </c>
      <c r="AE767" s="1" t="s">
        <v>46</v>
      </c>
      <c r="AF767" s="1" t="s">
        <v>47</v>
      </c>
    </row>
    <row r="768" spans="1:32" s="15" customFormat="1" x14ac:dyDescent="0.25">
      <c r="A768" s="16">
        <v>768</v>
      </c>
      <c r="B768" s="16" t="s">
        <v>2445</v>
      </c>
      <c r="C768" s="17">
        <v>45551.77083333333</v>
      </c>
      <c r="D768" s="17">
        <v>45558.77083333333</v>
      </c>
      <c r="E768" s="16" t="s">
        <v>2446</v>
      </c>
      <c r="F768" s="16" t="s">
        <v>50</v>
      </c>
      <c r="G768" s="16" t="s">
        <v>109</v>
      </c>
      <c r="H768" s="16" t="s">
        <v>80</v>
      </c>
      <c r="I768" s="16" t="s">
        <v>206</v>
      </c>
      <c r="J768" s="16" t="s">
        <v>207</v>
      </c>
      <c r="K768" s="16" t="s">
        <v>39</v>
      </c>
      <c r="L768" s="16" t="s">
        <v>62</v>
      </c>
      <c r="M768" s="16" t="s">
        <v>2447</v>
      </c>
      <c r="N768" s="16" t="s">
        <v>42</v>
      </c>
      <c r="O768" s="16">
        <v>9</v>
      </c>
      <c r="P768" s="18">
        <v>2307.96</v>
      </c>
      <c r="Q768" s="19">
        <v>0.2</v>
      </c>
      <c r="R768" s="19">
        <v>0.2</v>
      </c>
      <c r="S768" s="18">
        <v>16617.31</v>
      </c>
      <c r="T768" s="18">
        <v>9195.73</v>
      </c>
      <c r="U768" s="18">
        <v>7421.58</v>
      </c>
      <c r="V768" s="16" t="s">
        <v>43</v>
      </c>
      <c r="W768" s="16" t="s">
        <v>85</v>
      </c>
      <c r="X768" s="18">
        <f>IF(OR(O768="",P768="",R768=""),"",O768*P768*(1-R768))</f>
        <v>16617.31</v>
      </c>
      <c r="Y768" s="18">
        <f>IF(OR(X768="",T768=""),"",X768-T768)</f>
        <v>7421.58</v>
      </c>
      <c r="Z768" s="19">
        <f>IFERROR(Y768/X768,"")</f>
        <v>0.4466</v>
      </c>
      <c r="AA768" s="16">
        <f>IF(OR(C768="",D768=""),"",D768-C768)</f>
        <v>7</v>
      </c>
      <c r="AB768" s="16">
        <f>IF(C768="","",MONTH(C768))</f>
        <v>9</v>
      </c>
      <c r="AC768" s="16">
        <f>IF(C768="","",YEAR(C768))</f>
        <v>2024</v>
      </c>
      <c r="AD768" s="16" t="s">
        <v>86</v>
      </c>
      <c r="AE768" s="16" t="s">
        <v>66</v>
      </c>
      <c r="AF768" s="16" t="s">
        <v>87</v>
      </c>
    </row>
    <row r="769" spans="1:32" x14ac:dyDescent="0.25">
      <c r="A769" s="1">
        <v>769</v>
      </c>
      <c r="B769" s="1" t="s">
        <v>2448</v>
      </c>
      <c r="C769" s="2">
        <v>45414.77083333333</v>
      </c>
      <c r="D769" s="2">
        <v>45417.77083333333</v>
      </c>
      <c r="E769" s="1" t="s">
        <v>2449</v>
      </c>
      <c r="F769" s="1" t="s">
        <v>79</v>
      </c>
      <c r="G769" s="1" t="s">
        <v>114</v>
      </c>
      <c r="H769" s="1" t="s">
        <v>36</v>
      </c>
      <c r="I769" s="1" t="s">
        <v>157</v>
      </c>
      <c r="J769" s="1" t="s">
        <v>158</v>
      </c>
      <c r="K769" s="1" t="s">
        <v>39</v>
      </c>
      <c r="L769" s="1" t="s">
        <v>176</v>
      </c>
      <c r="M769" s="1" t="s">
        <v>2450</v>
      </c>
      <c r="N769" s="1" t="s">
        <v>76</v>
      </c>
      <c r="O769" s="1">
        <v>1</v>
      </c>
      <c r="P769" s="3">
        <v>1244.58</v>
      </c>
      <c r="Q769" s="4">
        <v>0.25</v>
      </c>
      <c r="R769" s="4">
        <v>0.25</v>
      </c>
      <c r="S769" s="3">
        <v>933.43</v>
      </c>
      <c r="T769" s="3">
        <v>583.09</v>
      </c>
      <c r="U769" s="3">
        <v>350.34</v>
      </c>
      <c r="V769" s="1" t="s">
        <v>43</v>
      </c>
      <c r="W769" s="1" t="s">
        <v>44</v>
      </c>
      <c r="X769" s="3">
        <f>IF(OR(O769="",P769="",R769=""),"",O769*P769*(1-R769))</f>
        <v>933.44</v>
      </c>
      <c r="Y769" s="3">
        <f>IF(OR(X769="",T769=""),"",X769-T769)</f>
        <v>350.35</v>
      </c>
      <c r="Z769" s="4">
        <f>IFERROR(Y769/X769,"")</f>
        <v>0.3753</v>
      </c>
      <c r="AA769" s="1">
        <f>IF(OR(C769="",D769=""),"",D769-C769)</f>
        <v>3</v>
      </c>
      <c r="AB769" s="1">
        <f>IF(C769="","",MONTH(C769))</f>
        <v>5</v>
      </c>
      <c r="AC769" s="1">
        <f>IF(C769="","",YEAR(C769))</f>
        <v>2024</v>
      </c>
      <c r="AD769" s="1" t="s">
        <v>45</v>
      </c>
      <c r="AE769" s="1" t="s">
        <v>46</v>
      </c>
      <c r="AF769" s="1" t="s">
        <v>47</v>
      </c>
    </row>
    <row r="770" spans="1:32" x14ac:dyDescent="0.25">
      <c r="A770" s="1">
        <v>770</v>
      </c>
      <c r="B770" s="1" t="s">
        <v>2451</v>
      </c>
      <c r="C770" s="2">
        <v>45748.77083333333</v>
      </c>
      <c r="D770" s="2">
        <v>45750.77083333333</v>
      </c>
      <c r="E770" s="1" t="s">
        <v>2452</v>
      </c>
      <c r="F770" s="1" t="s">
        <v>153</v>
      </c>
      <c r="G770" s="1" t="s">
        <v>114</v>
      </c>
      <c r="H770" s="1" t="s">
        <v>52</v>
      </c>
      <c r="I770" s="1" t="s">
        <v>258</v>
      </c>
      <c r="J770" s="1" t="s">
        <v>259</v>
      </c>
      <c r="K770" s="1" t="s">
        <v>39</v>
      </c>
      <c r="L770" s="1" t="s">
        <v>40</v>
      </c>
      <c r="M770" s="1" t="s">
        <v>2453</v>
      </c>
      <c r="N770" s="1" t="s">
        <v>58</v>
      </c>
      <c r="O770" s="1">
        <v>5</v>
      </c>
      <c r="P770" s="3">
        <v>3234.24</v>
      </c>
      <c r="Q770" s="4">
        <v>0.1</v>
      </c>
      <c r="R770" s="4">
        <v>0.1</v>
      </c>
      <c r="S770" s="3">
        <v>14554.08</v>
      </c>
      <c r="T770" s="3">
        <v>11166.84</v>
      </c>
      <c r="U770" s="3">
        <v>3387.24</v>
      </c>
      <c r="V770" s="1" t="s">
        <v>43</v>
      </c>
      <c r="W770" s="1" t="s">
        <v>44</v>
      </c>
      <c r="X770" s="3">
        <f>IF(OR(O770="",P770="",R770=""),"",O770*P770*(1-R770))</f>
        <v>14554.08</v>
      </c>
      <c r="Y770" s="3">
        <f>IF(OR(X770="",T770=""),"",X770-T770)</f>
        <v>3387.24</v>
      </c>
      <c r="Z770" s="4">
        <f>IFERROR(Y770/X770,"")</f>
        <v>0.2327</v>
      </c>
      <c r="AA770" s="1">
        <f>IF(OR(C770="",D770=""),"",D770-C770)</f>
        <v>2</v>
      </c>
      <c r="AB770" s="1">
        <f>IF(C770="","",MONTH(C770))</f>
        <v>4</v>
      </c>
      <c r="AC770" s="1">
        <f>IF(C770="","",YEAR(C770))</f>
        <v>2025</v>
      </c>
      <c r="AD770" s="1" t="s">
        <v>45</v>
      </c>
      <c r="AE770" s="1" t="s">
        <v>46</v>
      </c>
      <c r="AF770" s="1" t="s">
        <v>47</v>
      </c>
    </row>
    <row r="771" spans="1:32" x14ac:dyDescent="0.25">
      <c r="A771" s="1">
        <v>771</v>
      </c>
      <c r="B771" s="1" t="s">
        <v>2454</v>
      </c>
      <c r="C771" s="2">
        <v>45422.77083333333</v>
      </c>
      <c r="D771" s="2">
        <v>45424.77083333333</v>
      </c>
      <c r="E771" s="1" t="s">
        <v>2455</v>
      </c>
      <c r="F771" s="1" t="s">
        <v>135</v>
      </c>
      <c r="G771" s="1" t="s">
        <v>114</v>
      </c>
      <c r="H771" s="1" t="s">
        <v>80</v>
      </c>
      <c r="I771" s="1" t="s">
        <v>216</v>
      </c>
      <c r="J771" s="1" t="s">
        <v>217</v>
      </c>
      <c r="K771" s="1" t="s">
        <v>55</v>
      </c>
      <c r="L771" s="1" t="s">
        <v>182</v>
      </c>
      <c r="M771" s="1" t="s">
        <v>2456</v>
      </c>
      <c r="N771" s="1" t="s">
        <v>58</v>
      </c>
      <c r="O771" s="1">
        <v>3</v>
      </c>
      <c r="P771" s="3">
        <v>3612.75</v>
      </c>
      <c r="Q771" s="4">
        <v>0.25</v>
      </c>
      <c r="R771" s="4">
        <v>0.25</v>
      </c>
      <c r="S771" s="3">
        <v>8128.69</v>
      </c>
      <c r="T771" s="3">
        <v>5071.66</v>
      </c>
      <c r="U771" s="3">
        <v>3057.03</v>
      </c>
      <c r="V771" s="1" t="s">
        <v>43</v>
      </c>
      <c r="W771" s="1" t="s">
        <v>44</v>
      </c>
      <c r="X771" s="3">
        <f>IF(OR(O771="",P771="",R771=""),"",O771*P771*(1-R771))</f>
        <v>8128.69</v>
      </c>
      <c r="Y771" s="3">
        <f>IF(OR(X771="",T771=""),"",X771-T771)</f>
        <v>3057.03</v>
      </c>
      <c r="Z771" s="4">
        <f>IFERROR(Y771/X771,"")</f>
        <v>0.3761</v>
      </c>
      <c r="AA771" s="1">
        <f>IF(OR(C771="",D771=""),"",D771-C771)</f>
        <v>2</v>
      </c>
      <c r="AB771" s="1">
        <f>IF(C771="","",MONTH(C771))</f>
        <v>5</v>
      </c>
      <c r="AC771" s="1">
        <f>IF(C771="","",YEAR(C771))</f>
        <v>2024</v>
      </c>
      <c r="AD771" s="1" t="s">
        <v>45</v>
      </c>
      <c r="AE771" s="1" t="s">
        <v>46</v>
      </c>
      <c r="AF771" s="1" t="s">
        <v>47</v>
      </c>
    </row>
    <row r="772" spans="1:32" s="10" customFormat="1" x14ac:dyDescent="0.25">
      <c r="A772" s="11">
        <v>772</v>
      </c>
      <c r="B772" s="11" t="s">
        <v>2457</v>
      </c>
      <c r="C772" s="12">
        <v>45336.77083333333</v>
      </c>
      <c r="D772" s="12">
        <v>45338.77083333333</v>
      </c>
      <c r="E772" s="11" t="s">
        <v>2458</v>
      </c>
      <c r="F772" s="11" t="s">
        <v>98</v>
      </c>
      <c r="G772" s="11" t="s">
        <v>35</v>
      </c>
      <c r="H772" s="11" t="s">
        <v>36</v>
      </c>
      <c r="I772" s="11" t="s">
        <v>157</v>
      </c>
      <c r="J772" s="11" t="s">
        <v>158</v>
      </c>
      <c r="K772" s="11" t="s">
        <v>93</v>
      </c>
      <c r="L772" s="11" t="s">
        <v>99</v>
      </c>
      <c r="M772" s="11" t="s">
        <v>2459</v>
      </c>
      <c r="N772" s="11" t="s">
        <v>64</v>
      </c>
      <c r="O772" s="11">
        <v>4</v>
      </c>
      <c r="P772" s="13">
        <v>863</v>
      </c>
      <c r="Q772" s="14"/>
      <c r="R772" s="14">
        <v>0</v>
      </c>
      <c r="S772" s="13">
        <v>3106.8</v>
      </c>
      <c r="T772" s="13">
        <v>2376.62</v>
      </c>
      <c r="U772" s="13">
        <v>730.18</v>
      </c>
      <c r="V772" s="11" t="s">
        <v>43</v>
      </c>
      <c r="W772" s="11" t="s">
        <v>44</v>
      </c>
      <c r="X772" s="13">
        <f>IF(OR(O772="",P772="",R772=""),"",O772*P772*(1-R772))</f>
        <v>3452</v>
      </c>
      <c r="Y772" s="13">
        <f>IF(OR(X772="",T772=""),"",X772-T772)</f>
        <v>1075.38</v>
      </c>
      <c r="Z772" s="14">
        <f>IFERROR(Y772/X772,"")</f>
        <v>0.3115</v>
      </c>
      <c r="AA772" s="11">
        <f>IF(OR(C772="",D772=""),"",D772-C772)</f>
        <v>2</v>
      </c>
      <c r="AB772" s="11">
        <f>IF(C772="","",MONTH(C772))</f>
        <v>2</v>
      </c>
      <c r="AC772" s="11">
        <f>IF(C772="","",YEAR(C772))</f>
        <v>2024</v>
      </c>
      <c r="AD772" s="11" t="s">
        <v>65</v>
      </c>
      <c r="AE772" s="11" t="s">
        <v>66</v>
      </c>
      <c r="AF772" s="11" t="s">
        <v>225</v>
      </c>
    </row>
    <row r="773" spans="1:32" s="10" customFormat="1" x14ac:dyDescent="0.25">
      <c r="A773" s="11">
        <v>773</v>
      </c>
      <c r="B773" s="11" t="s">
        <v>2460</v>
      </c>
      <c r="C773" s="12">
        <v>45484.77083333333</v>
      </c>
      <c r="D773" s="12">
        <v>45486.77083333333</v>
      </c>
      <c r="E773" s="11" t="s">
        <v>507</v>
      </c>
      <c r="F773" s="11" t="s">
        <v>79</v>
      </c>
      <c r="G773" s="11" t="s">
        <v>35</v>
      </c>
      <c r="H773" s="11" t="s">
        <v>36</v>
      </c>
      <c r="I773" s="11" t="s">
        <v>266</v>
      </c>
      <c r="J773" s="11" t="s">
        <v>267</v>
      </c>
      <c r="K773" s="11" t="s">
        <v>93</v>
      </c>
      <c r="L773" s="11" t="s">
        <v>305</v>
      </c>
      <c r="M773" s="11" t="s">
        <v>2461</v>
      </c>
      <c r="N773" s="11" t="s">
        <v>42</v>
      </c>
      <c r="O773" s="11">
        <v>4</v>
      </c>
      <c r="P773" s="13">
        <v>2131.41</v>
      </c>
      <c r="Q773" s="14"/>
      <c r="R773" s="14">
        <v>0</v>
      </c>
      <c r="S773" s="13">
        <v>6394.23</v>
      </c>
      <c r="T773" s="13">
        <v>3520.69</v>
      </c>
      <c r="U773" s="13">
        <v>2873.54</v>
      </c>
      <c r="V773" s="11" t="s">
        <v>43</v>
      </c>
      <c r="W773" s="11" t="s">
        <v>44</v>
      </c>
      <c r="X773" s="13">
        <f>IF(OR(O773="",P773="",R773=""),"",O773*P773*(1-R773))</f>
        <v>8525.64</v>
      </c>
      <c r="Y773" s="13">
        <f>IF(OR(X773="",T773=""),"",X773-T773)</f>
        <v>5004.95</v>
      </c>
      <c r="Z773" s="14">
        <f>IFERROR(Y773/X773,"")</f>
        <v>0.587</v>
      </c>
      <c r="AA773" s="11">
        <f>IF(OR(C773="",D773=""),"",D773-C773)</f>
        <v>2</v>
      </c>
      <c r="AB773" s="11">
        <f>IF(C773="","",MONTH(C773))</f>
        <v>7</v>
      </c>
      <c r="AC773" s="11">
        <f>IF(C773="","",YEAR(C773))</f>
        <v>2024</v>
      </c>
      <c r="AD773" s="11" t="s">
        <v>65</v>
      </c>
      <c r="AE773" s="11" t="s">
        <v>66</v>
      </c>
      <c r="AF773" s="11" t="s">
        <v>225</v>
      </c>
    </row>
    <row r="774" spans="1:32" s="15" customFormat="1" x14ac:dyDescent="0.25">
      <c r="A774" s="16">
        <v>774</v>
      </c>
      <c r="B774" s="16" t="s">
        <v>2462</v>
      </c>
      <c r="C774" s="17">
        <v>45852.77083333333</v>
      </c>
      <c r="D774" s="17">
        <v>45856.77083333333</v>
      </c>
      <c r="E774" s="16" t="s">
        <v>2463</v>
      </c>
      <c r="F774" s="16" t="s">
        <v>186</v>
      </c>
      <c r="G774" s="16" t="s">
        <v>35</v>
      </c>
      <c r="H774" s="16" t="s">
        <v>71</v>
      </c>
      <c r="I774" s="16" t="s">
        <v>277</v>
      </c>
      <c r="J774" s="16" t="s">
        <v>278</v>
      </c>
      <c r="K774" s="16" t="s">
        <v>55</v>
      </c>
      <c r="L774" s="16" t="s">
        <v>83</v>
      </c>
      <c r="M774" s="16" t="s">
        <v>2464</v>
      </c>
      <c r="N774" s="16" t="s">
        <v>58</v>
      </c>
      <c r="O774" s="16">
        <v>1</v>
      </c>
      <c r="P774" s="18">
        <v>3903.22</v>
      </c>
      <c r="Q774" s="19">
        <v>0.05</v>
      </c>
      <c r="R774" s="19">
        <v>0.05</v>
      </c>
      <c r="S774" s="18">
        <v>3708.06</v>
      </c>
      <c r="T774" s="18">
        <v>2760.29</v>
      </c>
      <c r="U774" s="18">
        <v>947.77</v>
      </c>
      <c r="V774" s="16" t="s">
        <v>131</v>
      </c>
      <c r="W774" s="16" t="s">
        <v>85</v>
      </c>
      <c r="X774" s="18">
        <f>IF(OR(O774="",P774="",R774=""),"",O774*P774*(1-R774))</f>
        <v>3708.06</v>
      </c>
      <c r="Y774" s="18">
        <f>IF(OR(X774="",T774=""),"",X774-T774)</f>
        <v>947.77</v>
      </c>
      <c r="Z774" s="19">
        <f>IFERROR(Y774/X774,"")</f>
        <v>0.2556</v>
      </c>
      <c r="AA774" s="16">
        <f>IF(OR(C774="",D774=""),"",D774-C774)</f>
        <v>4</v>
      </c>
      <c r="AB774" s="16">
        <f>IF(C774="","",MONTH(C774))</f>
        <v>7</v>
      </c>
      <c r="AC774" s="16">
        <f>IF(C774="","",YEAR(C774))</f>
        <v>2025</v>
      </c>
      <c r="AD774" s="16" t="s">
        <v>86</v>
      </c>
      <c r="AE774" s="16" t="s">
        <v>66</v>
      </c>
      <c r="AF774" s="16" t="s">
        <v>255</v>
      </c>
    </row>
    <row r="775" spans="1:32" s="15" customFormat="1" x14ac:dyDescent="0.25">
      <c r="A775" s="16">
        <v>775</v>
      </c>
      <c r="B775" s="16" t="s">
        <v>2465</v>
      </c>
      <c r="C775" s="17">
        <v>45708.77083333333</v>
      </c>
      <c r="D775" s="17">
        <v>45708.77083333333</v>
      </c>
      <c r="E775" s="16" t="s">
        <v>2466</v>
      </c>
      <c r="F775" s="16" t="s">
        <v>34</v>
      </c>
      <c r="G775" s="16" t="s">
        <v>114</v>
      </c>
      <c r="H775" s="16" t="s">
        <v>80</v>
      </c>
      <c r="I775" s="16" t="s">
        <v>206</v>
      </c>
      <c r="J775" s="16" t="s">
        <v>207</v>
      </c>
      <c r="K775" s="16" t="s">
        <v>93</v>
      </c>
      <c r="L775" s="16" t="s">
        <v>196</v>
      </c>
      <c r="M775" s="16" t="s">
        <v>2467</v>
      </c>
      <c r="N775" s="16" t="s">
        <v>232</v>
      </c>
      <c r="O775" s="16">
        <v>4</v>
      </c>
      <c r="P775" s="18">
        <v>2945.07</v>
      </c>
      <c r="Q775" s="19">
        <v>0.2</v>
      </c>
      <c r="R775" s="19">
        <v>0.2</v>
      </c>
      <c r="S775" s="18">
        <v>9424.22</v>
      </c>
      <c r="T775" s="18">
        <v>6178.92</v>
      </c>
      <c r="U775" s="18">
        <v>3245.3</v>
      </c>
      <c r="V775" s="16" t="s">
        <v>43</v>
      </c>
      <c r="W775" s="16" t="s">
        <v>44</v>
      </c>
      <c r="X775" s="18">
        <f>IF(OR(O775="",P775="",R775=""),"",O775*P775*(1-R775))</f>
        <v>9424.22</v>
      </c>
      <c r="Y775" s="18">
        <f>IF(OR(X775="",T775=""),"",X775-T775)</f>
        <v>3245.3</v>
      </c>
      <c r="Z775" s="19">
        <f>IFERROR(Y775/X775,"")</f>
        <v>0.3444</v>
      </c>
      <c r="AA775" s="16">
        <f>IF(OR(C775="",D775=""),"",D775-C775)</f>
        <v>0</v>
      </c>
      <c r="AB775" s="16">
        <f>IF(C775="","",MONTH(C775))</f>
        <v>2</v>
      </c>
      <c r="AC775" s="16">
        <f>IF(C775="","",YEAR(C775))</f>
        <v>2025</v>
      </c>
      <c r="AD775" s="16" t="s">
        <v>86</v>
      </c>
      <c r="AE775" s="16" t="s">
        <v>46</v>
      </c>
      <c r="AF775" s="16" t="s">
        <v>442</v>
      </c>
    </row>
    <row r="776" spans="1:32" s="15" customFormat="1" x14ac:dyDescent="0.25">
      <c r="A776" s="16">
        <v>776</v>
      </c>
      <c r="B776" s="16" t="s">
        <v>2468</v>
      </c>
      <c r="C776" s="17">
        <v>45875.77083333333</v>
      </c>
      <c r="D776" s="17">
        <v>45875.77083333333</v>
      </c>
      <c r="E776" s="16" t="s">
        <v>2469</v>
      </c>
      <c r="F776" s="16" t="s">
        <v>294</v>
      </c>
      <c r="G776" s="16" t="s">
        <v>35</v>
      </c>
      <c r="H776" s="16" t="s">
        <v>80</v>
      </c>
      <c r="I776" s="16" t="s">
        <v>37</v>
      </c>
      <c r="J776" s="16" t="s">
        <v>129</v>
      </c>
      <c r="K776" s="16" t="s">
        <v>93</v>
      </c>
      <c r="L776" s="16" t="s">
        <v>305</v>
      </c>
      <c r="M776" s="16" t="s">
        <v>2470</v>
      </c>
      <c r="N776" s="16" t="s">
        <v>232</v>
      </c>
      <c r="O776" s="16">
        <v>9</v>
      </c>
      <c r="P776" s="18">
        <v>1076.75</v>
      </c>
      <c r="Q776" s="19">
        <v>0.2</v>
      </c>
      <c r="R776" s="19">
        <v>0.2</v>
      </c>
      <c r="S776" s="18">
        <v>7752.6</v>
      </c>
      <c r="T776" s="18">
        <v>4689.3</v>
      </c>
      <c r="U776" s="18">
        <v>3063.3</v>
      </c>
      <c r="V776" s="16" t="s">
        <v>43</v>
      </c>
      <c r="W776" s="16" t="s">
        <v>44</v>
      </c>
      <c r="X776" s="18">
        <f>IF(OR(O776="",P776="",R776=""),"",O776*P776*(1-R776))</f>
        <v>7752.6</v>
      </c>
      <c r="Y776" s="18">
        <f>IF(OR(X776="",T776=""),"",X776-T776)</f>
        <v>3063.3</v>
      </c>
      <c r="Z776" s="19">
        <f>IFERROR(Y776/X776,"")</f>
        <v>0.3951</v>
      </c>
      <c r="AA776" s="16">
        <f>IF(OR(C776="",D776=""),"",D776-C776)</f>
        <v>0</v>
      </c>
      <c r="AB776" s="16">
        <f>IF(C776="","",MONTH(C776))</f>
        <v>8</v>
      </c>
      <c r="AC776" s="16">
        <f>IF(C776="","",YEAR(C776))</f>
        <v>2025</v>
      </c>
      <c r="AD776" s="16" t="s">
        <v>86</v>
      </c>
      <c r="AE776" s="16" t="s">
        <v>46</v>
      </c>
      <c r="AF776" s="16" t="s">
        <v>442</v>
      </c>
    </row>
    <row r="777" spans="1:32" x14ac:dyDescent="0.25">
      <c r="A777" s="1">
        <v>777</v>
      </c>
      <c r="B777" s="1" t="s">
        <v>2471</v>
      </c>
      <c r="C777" s="2">
        <v>45395.77083333333</v>
      </c>
      <c r="D777" s="2">
        <v>45403.77083333333</v>
      </c>
      <c r="E777" s="1" t="s">
        <v>2472</v>
      </c>
      <c r="F777" s="1" t="s">
        <v>70</v>
      </c>
      <c r="G777" s="1" t="s">
        <v>35</v>
      </c>
      <c r="H777" s="1" t="s">
        <v>36</v>
      </c>
      <c r="I777" s="1" t="s">
        <v>266</v>
      </c>
      <c r="J777" s="1" t="s">
        <v>267</v>
      </c>
      <c r="K777" s="1" t="s">
        <v>93</v>
      </c>
      <c r="L777" s="1" t="s">
        <v>94</v>
      </c>
      <c r="M777" s="1" t="s">
        <v>2473</v>
      </c>
      <c r="N777" s="1" t="s">
        <v>76</v>
      </c>
      <c r="O777" s="1">
        <v>8</v>
      </c>
      <c r="P777" s="3">
        <v>3956.12</v>
      </c>
      <c r="Q777" s="4">
        <v>0.25</v>
      </c>
      <c r="R777" s="4">
        <v>0.25</v>
      </c>
      <c r="S777" s="3">
        <v>23736.72</v>
      </c>
      <c r="T777" s="3">
        <v>13890.9</v>
      </c>
      <c r="U777" s="3">
        <v>9845.82</v>
      </c>
      <c r="V777" s="1" t="s">
        <v>43</v>
      </c>
      <c r="W777" s="1" t="s">
        <v>44</v>
      </c>
      <c r="X777" s="3">
        <f>IF(OR(O777="",P777="",R777=""),"",O777*P777*(1-R777))</f>
        <v>23736.72</v>
      </c>
      <c r="Y777" s="3">
        <f>IF(OR(X777="",T777=""),"",X777-T777)</f>
        <v>9845.82</v>
      </c>
      <c r="Z777" s="4">
        <f>IFERROR(Y777/X777,"")</f>
        <v>0.4148</v>
      </c>
      <c r="AA777" s="1">
        <f>IF(OR(C777="",D777=""),"",D777-C777)</f>
        <v>8</v>
      </c>
      <c r="AB777" s="1">
        <f>IF(C777="","",MONTH(C777))</f>
        <v>4</v>
      </c>
      <c r="AC777" s="1">
        <f>IF(C777="","",YEAR(C777))</f>
        <v>2024</v>
      </c>
      <c r="AD777" s="1" t="s">
        <v>45</v>
      </c>
      <c r="AE777" s="1" t="s">
        <v>46</v>
      </c>
      <c r="AF777" s="1" t="s">
        <v>47</v>
      </c>
    </row>
    <row r="778" spans="1:32" x14ac:dyDescent="0.25">
      <c r="A778" s="1">
        <v>778</v>
      </c>
      <c r="B778" s="1" t="s">
        <v>2474</v>
      </c>
      <c r="C778" s="2">
        <v>45815.77083333333</v>
      </c>
      <c r="D778" s="2">
        <v>45820.77083333333</v>
      </c>
      <c r="E778" s="1" t="s">
        <v>2475</v>
      </c>
      <c r="F778" s="1" t="s">
        <v>108</v>
      </c>
      <c r="G778" s="1" t="s">
        <v>51</v>
      </c>
      <c r="H778" s="1" t="s">
        <v>36</v>
      </c>
      <c r="I778" s="1" t="s">
        <v>37</v>
      </c>
      <c r="J778" s="1" t="s">
        <v>38</v>
      </c>
      <c r="K778" s="1" t="s">
        <v>93</v>
      </c>
      <c r="L778" s="1" t="s">
        <v>99</v>
      </c>
      <c r="M778" s="1" t="s">
        <v>2476</v>
      </c>
      <c r="N778" s="1" t="s">
        <v>42</v>
      </c>
      <c r="O778" s="1">
        <v>7</v>
      </c>
      <c r="P778" s="3">
        <v>3857.13</v>
      </c>
      <c r="Q778" s="4">
        <v>0</v>
      </c>
      <c r="R778" s="4">
        <v>0</v>
      </c>
      <c r="S778" s="3">
        <v>26999.91</v>
      </c>
      <c r="T778" s="3">
        <v>17815.98</v>
      </c>
      <c r="U778" s="3">
        <v>9183.93</v>
      </c>
      <c r="V778" s="1" t="s">
        <v>43</v>
      </c>
      <c r="W778" s="1" t="s">
        <v>44</v>
      </c>
      <c r="X778" s="3">
        <f>IF(OR(O778="",P778="",R778=""),"",O778*P778*(1-R778))</f>
        <v>26999.91</v>
      </c>
      <c r="Y778" s="3">
        <f>IF(OR(X778="",T778=""),"",X778-T778)</f>
        <v>9183.93</v>
      </c>
      <c r="Z778" s="4">
        <f>IFERROR(Y778/X778,"")</f>
        <v>0.3401</v>
      </c>
      <c r="AA778" s="1">
        <f>IF(OR(C778="",D778=""),"",D778-C778)</f>
        <v>5</v>
      </c>
      <c r="AB778" s="1">
        <f>IF(C778="","",MONTH(C778))</f>
        <v>6</v>
      </c>
      <c r="AC778" s="1">
        <f>IF(C778="","",YEAR(C778))</f>
        <v>2025</v>
      </c>
      <c r="AD778" s="1" t="s">
        <v>45</v>
      </c>
      <c r="AE778" s="1" t="s">
        <v>46</v>
      </c>
      <c r="AF778" s="1" t="s">
        <v>47</v>
      </c>
    </row>
    <row r="779" spans="1:32" s="15" customFormat="1" x14ac:dyDescent="0.25">
      <c r="A779" s="16">
        <v>779</v>
      </c>
      <c r="B779" s="16" t="s">
        <v>2477</v>
      </c>
      <c r="C779" s="17">
        <v>45325.77083333333</v>
      </c>
      <c r="D779" s="17">
        <v>45327.77083333333</v>
      </c>
      <c r="E779" s="16" t="s">
        <v>2478</v>
      </c>
      <c r="F779" s="16" t="s">
        <v>294</v>
      </c>
      <c r="G779" s="16" t="s">
        <v>51</v>
      </c>
      <c r="H779" s="16" t="s">
        <v>80</v>
      </c>
      <c r="I779" s="16" t="s">
        <v>91</v>
      </c>
      <c r="J779" s="16" t="s">
        <v>92</v>
      </c>
      <c r="K779" s="16" t="s">
        <v>93</v>
      </c>
      <c r="L779" s="16" t="s">
        <v>94</v>
      </c>
      <c r="M779" s="16" t="s">
        <v>2479</v>
      </c>
      <c r="N779" s="16" t="s">
        <v>42</v>
      </c>
      <c r="O779" s="16">
        <v>4</v>
      </c>
      <c r="P779" s="18">
        <v>1489.74</v>
      </c>
      <c r="Q779" s="19">
        <v>0.15</v>
      </c>
      <c r="R779" s="19">
        <v>0.15</v>
      </c>
      <c r="S779" s="18">
        <v>5065.12</v>
      </c>
      <c r="T779" s="18">
        <v>3530.12</v>
      </c>
      <c r="U779" s="18">
        <v>1535</v>
      </c>
      <c r="V779" s="16" t="s">
        <v>178</v>
      </c>
      <c r="W779" s="16" t="s">
        <v>85</v>
      </c>
      <c r="X779" s="18">
        <f>IF(OR(O779="",P779="",R779=""),"",O779*P779*(1-R779))</f>
        <v>5065.12</v>
      </c>
      <c r="Y779" s="18">
        <f>IF(OR(X779="",T779=""),"",X779-T779)</f>
        <v>1535</v>
      </c>
      <c r="Z779" s="19">
        <f>IFERROR(Y779/X779,"")</f>
        <v>0.3031</v>
      </c>
      <c r="AA779" s="16">
        <f>IF(OR(C779="",D779=""),"",D779-C779)</f>
        <v>2</v>
      </c>
      <c r="AB779" s="16">
        <f>IF(C779="","",MONTH(C779))</f>
        <v>2</v>
      </c>
      <c r="AC779" s="16">
        <f>IF(C779="","",YEAR(C779))</f>
        <v>2024</v>
      </c>
      <c r="AD779" s="16" t="s">
        <v>86</v>
      </c>
      <c r="AE779" s="16" t="s">
        <v>66</v>
      </c>
      <c r="AF779" s="16" t="s">
        <v>296</v>
      </c>
    </row>
    <row r="780" spans="1:32" x14ac:dyDescent="0.25">
      <c r="A780" s="1">
        <v>780</v>
      </c>
      <c r="B780" s="1" t="s">
        <v>2480</v>
      </c>
      <c r="C780" s="2">
        <v>45496.77083333333</v>
      </c>
      <c r="D780" s="2">
        <v>45496.77083333333</v>
      </c>
      <c r="E780" s="1" t="s">
        <v>2481</v>
      </c>
      <c r="F780" s="1" t="s">
        <v>34</v>
      </c>
      <c r="G780" s="1" t="s">
        <v>51</v>
      </c>
      <c r="H780" s="1" t="s">
        <v>36</v>
      </c>
      <c r="I780" s="1" t="s">
        <v>266</v>
      </c>
      <c r="J780" s="1" t="s">
        <v>267</v>
      </c>
      <c r="K780" s="1" t="s">
        <v>93</v>
      </c>
      <c r="L780" s="1" t="s">
        <v>99</v>
      </c>
      <c r="M780" s="1" t="s">
        <v>2482</v>
      </c>
      <c r="N780" s="1" t="s">
        <v>42</v>
      </c>
      <c r="O780" s="1">
        <v>4</v>
      </c>
      <c r="P780" s="3">
        <v>1676.88</v>
      </c>
      <c r="Q780" s="4">
        <v>0</v>
      </c>
      <c r="R780" s="4">
        <v>0</v>
      </c>
      <c r="S780" s="3">
        <v>6707.52</v>
      </c>
      <c r="T780" s="3">
        <v>5672.57</v>
      </c>
      <c r="U780" s="3">
        <v>1034.95</v>
      </c>
      <c r="V780" s="1" t="s">
        <v>43</v>
      </c>
      <c r="W780" s="1" t="s">
        <v>44</v>
      </c>
      <c r="X780" s="3">
        <f>IF(OR(O780="",P780="",R780=""),"",O780*P780*(1-R780))</f>
        <v>6707.52</v>
      </c>
      <c r="Y780" s="3">
        <f>IF(OR(X780="",T780=""),"",X780-T780)</f>
        <v>1034.95</v>
      </c>
      <c r="Z780" s="4">
        <f>IFERROR(Y780/X780,"")</f>
        <v>0.1543</v>
      </c>
      <c r="AA780" s="1">
        <f>IF(OR(C780="",D780=""),"",D780-C780)</f>
        <v>0</v>
      </c>
      <c r="AB780" s="1">
        <f>IF(C780="","",MONTH(C780))</f>
        <v>7</v>
      </c>
      <c r="AC780" s="1">
        <f>IF(C780="","",YEAR(C780))</f>
        <v>2024</v>
      </c>
      <c r="AD780" s="1" t="s">
        <v>45</v>
      </c>
      <c r="AE780" s="1" t="s">
        <v>46</v>
      </c>
      <c r="AF780" s="1" t="s">
        <v>47</v>
      </c>
    </row>
    <row r="781" spans="1:32" x14ac:dyDescent="0.25">
      <c r="A781" s="1">
        <v>781</v>
      </c>
      <c r="B781" s="1" t="s">
        <v>2483</v>
      </c>
      <c r="C781" s="2">
        <v>45305.77083333333</v>
      </c>
      <c r="D781" s="2">
        <v>45310.77083333333</v>
      </c>
      <c r="E781" s="1" t="s">
        <v>2484</v>
      </c>
      <c r="F781" s="1" t="s">
        <v>135</v>
      </c>
      <c r="G781" s="1" t="s">
        <v>51</v>
      </c>
      <c r="H781" s="1" t="s">
        <v>71</v>
      </c>
      <c r="I781" s="1" t="s">
        <v>103</v>
      </c>
      <c r="J781" s="1" t="s">
        <v>104</v>
      </c>
      <c r="K781" s="1" t="s">
        <v>55</v>
      </c>
      <c r="L781" s="1" t="s">
        <v>83</v>
      </c>
      <c r="M781" s="1" t="s">
        <v>2485</v>
      </c>
      <c r="N781" s="1" t="s">
        <v>76</v>
      </c>
      <c r="O781" s="1">
        <v>4</v>
      </c>
      <c r="P781" s="3">
        <v>3153.54</v>
      </c>
      <c r="Q781" s="4">
        <v>0.05</v>
      </c>
      <c r="R781" s="4">
        <v>0.05</v>
      </c>
      <c r="S781" s="3">
        <v>11983.45</v>
      </c>
      <c r="T781" s="3">
        <v>8572.9</v>
      </c>
      <c r="U781" s="3">
        <v>3410.55</v>
      </c>
      <c r="V781" s="1" t="s">
        <v>43</v>
      </c>
      <c r="W781" s="1" t="s">
        <v>44</v>
      </c>
      <c r="X781" s="3">
        <f>IF(OR(O781="",P781="",R781=""),"",O781*P781*(1-R781))</f>
        <v>11983.45</v>
      </c>
      <c r="Y781" s="3">
        <f>IF(OR(X781="",T781=""),"",X781-T781)</f>
        <v>3410.55</v>
      </c>
      <c r="Z781" s="4">
        <f>IFERROR(Y781/X781,"")</f>
        <v>0.2846</v>
      </c>
      <c r="AA781" s="1">
        <f>IF(OR(C781="",D781=""),"",D781-C781)</f>
        <v>5</v>
      </c>
      <c r="AB781" s="1">
        <f>IF(C781="","",MONTH(C781))</f>
        <v>1</v>
      </c>
      <c r="AC781" s="1">
        <f>IF(C781="","",YEAR(C781))</f>
        <v>2024</v>
      </c>
      <c r="AD781" s="1" t="s">
        <v>45</v>
      </c>
      <c r="AE781" s="1" t="s">
        <v>46</v>
      </c>
      <c r="AF781" s="1" t="s">
        <v>47</v>
      </c>
    </row>
    <row r="782" spans="1:32" x14ac:dyDescent="0.25">
      <c r="A782" s="1">
        <v>782</v>
      </c>
      <c r="B782" s="1" t="s">
        <v>2486</v>
      </c>
      <c r="C782" s="2">
        <v>45507.77083333333</v>
      </c>
      <c r="D782" s="2">
        <v>45513.77083333333</v>
      </c>
      <c r="E782" s="1" t="s">
        <v>2487</v>
      </c>
      <c r="F782" s="1" t="s">
        <v>186</v>
      </c>
      <c r="G782" s="1" t="s">
        <v>51</v>
      </c>
      <c r="H782" s="1" t="s">
        <v>80</v>
      </c>
      <c r="I782" s="1" t="s">
        <v>37</v>
      </c>
      <c r="J782" s="1" t="s">
        <v>129</v>
      </c>
      <c r="K782" s="1" t="s">
        <v>55</v>
      </c>
      <c r="L782" s="1" t="s">
        <v>83</v>
      </c>
      <c r="M782" s="1" t="s">
        <v>2488</v>
      </c>
      <c r="N782" s="1" t="s">
        <v>58</v>
      </c>
      <c r="O782" s="1">
        <v>4</v>
      </c>
      <c r="P782" s="3">
        <v>426.43</v>
      </c>
      <c r="Q782" s="4">
        <v>0.2</v>
      </c>
      <c r="R782" s="4">
        <v>0.2</v>
      </c>
      <c r="S782" s="3">
        <v>1364.58</v>
      </c>
      <c r="T782" s="3">
        <v>978.16</v>
      </c>
      <c r="U782" s="3">
        <v>386.42</v>
      </c>
      <c r="V782" s="1" t="s">
        <v>43</v>
      </c>
      <c r="W782" s="1" t="s">
        <v>44</v>
      </c>
      <c r="X782" s="3">
        <f>IF(OR(O782="",P782="",R782=""),"",O782*P782*(1-R782))</f>
        <v>1364.58</v>
      </c>
      <c r="Y782" s="3">
        <f>IF(OR(X782="",T782=""),"",X782-T782)</f>
        <v>386.42</v>
      </c>
      <c r="Z782" s="4">
        <f>IFERROR(Y782/X782,"")</f>
        <v>0.2832</v>
      </c>
      <c r="AA782" s="1">
        <f>IF(OR(C782="",D782=""),"",D782-C782)</f>
        <v>6</v>
      </c>
      <c r="AB782" s="1">
        <f>IF(C782="","",MONTH(C782))</f>
        <v>8</v>
      </c>
      <c r="AC782" s="1">
        <f>IF(C782="","",YEAR(C782))</f>
        <v>2024</v>
      </c>
      <c r="AD782" s="1" t="s">
        <v>45</v>
      </c>
      <c r="AE782" s="1" t="s">
        <v>46</v>
      </c>
      <c r="AF782" s="1" t="s">
        <v>47</v>
      </c>
    </row>
    <row r="783" spans="1:32" s="15" customFormat="1" x14ac:dyDescent="0.25">
      <c r="A783" s="16">
        <v>783</v>
      </c>
      <c r="B783" s="16" t="s">
        <v>2489</v>
      </c>
      <c r="C783" s="17">
        <v>45323.77083333333</v>
      </c>
      <c r="D783" s="17">
        <v>45331.77083333333</v>
      </c>
      <c r="E783" s="16" t="s">
        <v>2490</v>
      </c>
      <c r="F783" s="16" t="s">
        <v>34</v>
      </c>
      <c r="G783" s="16" t="s">
        <v>114</v>
      </c>
      <c r="H783" s="16" t="s">
        <v>80</v>
      </c>
      <c r="I783" s="16" t="s">
        <v>37</v>
      </c>
      <c r="J783" s="16" t="s">
        <v>129</v>
      </c>
      <c r="K783" s="16" t="s">
        <v>39</v>
      </c>
      <c r="L783" s="16" t="s">
        <v>110</v>
      </c>
      <c r="M783" s="16" t="s">
        <v>2491</v>
      </c>
      <c r="N783" s="16" t="s">
        <v>64</v>
      </c>
      <c r="O783" s="16">
        <v>3</v>
      </c>
      <c r="P783" s="18">
        <v>383.4</v>
      </c>
      <c r="Q783" s="19">
        <v>0.25</v>
      </c>
      <c r="R783" s="19">
        <v>0.25</v>
      </c>
      <c r="S783" s="18">
        <v>862.65</v>
      </c>
      <c r="T783" s="18">
        <v>603.73</v>
      </c>
      <c r="U783" s="18">
        <v>258.92</v>
      </c>
      <c r="V783" s="16" t="s">
        <v>131</v>
      </c>
      <c r="W783" s="16" t="s">
        <v>122</v>
      </c>
      <c r="X783" s="18">
        <f>IF(OR(O783="",P783="",R783=""),"",O783*P783*(1-R783))</f>
        <v>862.65</v>
      </c>
      <c r="Y783" s="18">
        <f>IF(OR(X783="",T783=""),"",X783-T783)</f>
        <v>258.92</v>
      </c>
      <c r="Z783" s="19">
        <f>IFERROR(Y783/X783,"")</f>
        <v>0.3001</v>
      </c>
      <c r="AA783" s="16">
        <f>IF(OR(C783="",D783=""),"",D783-C783)</f>
        <v>8</v>
      </c>
      <c r="AB783" s="16">
        <f>IF(C783="","",MONTH(C783))</f>
        <v>2</v>
      </c>
      <c r="AC783" s="16">
        <f>IF(C783="","",YEAR(C783))</f>
        <v>2024</v>
      </c>
      <c r="AD783" s="16" t="s">
        <v>86</v>
      </c>
      <c r="AE783" s="16" t="s">
        <v>66</v>
      </c>
      <c r="AF783" s="16" t="s">
        <v>132</v>
      </c>
    </row>
    <row r="784" spans="1:32" x14ac:dyDescent="0.25">
      <c r="A784" s="1">
        <v>784</v>
      </c>
      <c r="B784" s="1" t="s">
        <v>2492</v>
      </c>
      <c r="C784" s="2">
        <v>45729.77083333333</v>
      </c>
      <c r="D784" s="2">
        <v>45737.77083333333</v>
      </c>
      <c r="E784" s="1" t="s">
        <v>2493</v>
      </c>
      <c r="F784" s="1" t="s">
        <v>50</v>
      </c>
      <c r="G784" s="1" t="s">
        <v>109</v>
      </c>
      <c r="H784" s="1" t="s">
        <v>52</v>
      </c>
      <c r="I784" s="1" t="s">
        <v>118</v>
      </c>
      <c r="J784" s="1" t="s">
        <v>119</v>
      </c>
      <c r="K784" s="1" t="s">
        <v>93</v>
      </c>
      <c r="L784" s="1" t="s">
        <v>99</v>
      </c>
      <c r="M784" s="1" t="s">
        <v>2494</v>
      </c>
      <c r="N784" s="1" t="s">
        <v>76</v>
      </c>
      <c r="O784" s="1">
        <v>2</v>
      </c>
      <c r="P784" s="3">
        <v>669.63</v>
      </c>
      <c r="Q784" s="4">
        <v>0.15</v>
      </c>
      <c r="R784" s="4">
        <v>0.15</v>
      </c>
      <c r="S784" s="3">
        <v>1138.37</v>
      </c>
      <c r="T784" s="3">
        <v>797.34</v>
      </c>
      <c r="U784" s="3">
        <v>341.03</v>
      </c>
      <c r="V784" s="1" t="s">
        <v>43</v>
      </c>
      <c r="W784" s="1" t="s">
        <v>44</v>
      </c>
      <c r="X784" s="3">
        <f>IF(OR(O784="",P784="",R784=""),"",O784*P784*(1-R784))</f>
        <v>1138.37</v>
      </c>
      <c r="Y784" s="3">
        <f>IF(OR(X784="",T784=""),"",X784-T784)</f>
        <v>341.03</v>
      </c>
      <c r="Z784" s="4">
        <f>IFERROR(Y784/X784,"")</f>
        <v>0.2996</v>
      </c>
      <c r="AA784" s="1">
        <f>IF(OR(C784="",D784=""),"",D784-C784)</f>
        <v>8</v>
      </c>
      <c r="AB784" s="1">
        <f>IF(C784="","",MONTH(C784))</f>
        <v>3</v>
      </c>
      <c r="AC784" s="1">
        <f>IF(C784="","",YEAR(C784))</f>
        <v>2025</v>
      </c>
      <c r="AD784" s="1" t="s">
        <v>45</v>
      </c>
      <c r="AE784" s="1" t="s">
        <v>46</v>
      </c>
      <c r="AF784" s="1" t="s">
        <v>47</v>
      </c>
    </row>
    <row r="785" spans="1:32" x14ac:dyDescent="0.25">
      <c r="A785" s="1">
        <v>785</v>
      </c>
      <c r="B785" s="1" t="s">
        <v>2495</v>
      </c>
      <c r="C785" s="2">
        <v>45449.77083333333</v>
      </c>
      <c r="D785" s="2">
        <v>45449.77083333333</v>
      </c>
      <c r="E785" s="1" t="s">
        <v>2496</v>
      </c>
      <c r="F785" s="1" t="s">
        <v>149</v>
      </c>
      <c r="G785" s="1" t="s">
        <v>51</v>
      </c>
      <c r="H785" s="1" t="s">
        <v>52</v>
      </c>
      <c r="I785" s="1" t="s">
        <v>168</v>
      </c>
      <c r="J785" s="1" t="s">
        <v>169</v>
      </c>
      <c r="K785" s="1" t="s">
        <v>39</v>
      </c>
      <c r="L785" s="1" t="s">
        <v>62</v>
      </c>
      <c r="M785" s="1" t="s">
        <v>2497</v>
      </c>
      <c r="N785" s="1" t="s">
        <v>42</v>
      </c>
      <c r="O785" s="1">
        <v>1</v>
      </c>
      <c r="P785" s="3">
        <v>2581.93</v>
      </c>
      <c r="Q785" s="4">
        <v>0.05</v>
      </c>
      <c r="R785" s="4">
        <v>0.05</v>
      </c>
      <c r="S785" s="3">
        <v>2452.83</v>
      </c>
      <c r="T785" s="3">
        <v>1906.7</v>
      </c>
      <c r="U785" s="3">
        <v>546.13</v>
      </c>
      <c r="V785" s="1" t="s">
        <v>43</v>
      </c>
      <c r="W785" s="1" t="s">
        <v>44</v>
      </c>
      <c r="X785" s="3">
        <f>IF(OR(O785="",P785="",R785=""),"",O785*P785*(1-R785))</f>
        <v>2452.83</v>
      </c>
      <c r="Y785" s="3">
        <f>IF(OR(X785="",T785=""),"",X785-T785)</f>
        <v>546.13</v>
      </c>
      <c r="Z785" s="4">
        <f>IFERROR(Y785/X785,"")</f>
        <v>0.2227</v>
      </c>
      <c r="AA785" s="1">
        <f>IF(OR(C785="",D785=""),"",D785-C785)</f>
        <v>0</v>
      </c>
      <c r="AB785" s="1">
        <f>IF(C785="","",MONTH(C785))</f>
        <v>6</v>
      </c>
      <c r="AC785" s="1">
        <f>IF(C785="","",YEAR(C785))</f>
        <v>2024</v>
      </c>
      <c r="AD785" s="1" t="s">
        <v>45</v>
      </c>
      <c r="AE785" s="1" t="s">
        <v>46</v>
      </c>
      <c r="AF785" s="1" t="s">
        <v>47</v>
      </c>
    </row>
    <row r="786" spans="1:32" x14ac:dyDescent="0.25">
      <c r="A786" s="1">
        <v>786</v>
      </c>
      <c r="B786" s="1" t="s">
        <v>2498</v>
      </c>
      <c r="C786" s="2">
        <v>45933.77083333333</v>
      </c>
      <c r="D786" s="2">
        <v>45934.77083333333</v>
      </c>
      <c r="E786" s="1" t="s">
        <v>2499</v>
      </c>
      <c r="F786" s="1" t="s">
        <v>135</v>
      </c>
      <c r="G786" s="1" t="s">
        <v>109</v>
      </c>
      <c r="H786" s="1" t="s">
        <v>36</v>
      </c>
      <c r="I786" s="1" t="s">
        <v>143</v>
      </c>
      <c r="J786" s="1" t="s">
        <v>144</v>
      </c>
      <c r="K786" s="1" t="s">
        <v>93</v>
      </c>
      <c r="L786" s="1" t="s">
        <v>99</v>
      </c>
      <c r="M786" s="1" t="s">
        <v>2500</v>
      </c>
      <c r="N786" s="1" t="s">
        <v>64</v>
      </c>
      <c r="O786" s="1">
        <v>4</v>
      </c>
      <c r="P786" s="3">
        <v>418.18</v>
      </c>
      <c r="Q786" s="4">
        <v>0.05</v>
      </c>
      <c r="R786" s="4">
        <v>0.05</v>
      </c>
      <c r="S786" s="3">
        <v>1589.08</v>
      </c>
      <c r="T786" s="3">
        <v>1084.66</v>
      </c>
      <c r="U786" s="3">
        <v>504.42</v>
      </c>
      <c r="V786" s="1" t="s">
        <v>43</v>
      </c>
      <c r="W786" s="1" t="s">
        <v>44</v>
      </c>
      <c r="X786" s="3">
        <f>IF(OR(O786="",P786="",R786=""),"",O786*P786*(1-R786))</f>
        <v>1589.08</v>
      </c>
      <c r="Y786" s="3">
        <f>IF(OR(X786="",T786=""),"",X786-T786)</f>
        <v>504.42</v>
      </c>
      <c r="Z786" s="4">
        <f>IFERROR(Y786/X786,"")</f>
        <v>0.3174</v>
      </c>
      <c r="AA786" s="1">
        <f>IF(OR(C786="",D786=""),"",D786-C786)</f>
        <v>1</v>
      </c>
      <c r="AB786" s="1">
        <f>IF(C786="","",MONTH(C786))</f>
        <v>10</v>
      </c>
      <c r="AC786" s="1">
        <f>IF(C786="","",YEAR(C786))</f>
        <v>2025</v>
      </c>
      <c r="AD786" s="1" t="s">
        <v>45</v>
      </c>
      <c r="AE786" s="1" t="s">
        <v>46</v>
      </c>
      <c r="AF786" s="1" t="s">
        <v>47</v>
      </c>
    </row>
    <row r="787" spans="1:32" s="10" customFormat="1" x14ac:dyDescent="0.25">
      <c r="A787" s="11">
        <v>787</v>
      </c>
      <c r="B787" s="11" t="s">
        <v>2501</v>
      </c>
      <c r="C787" s="12">
        <v>45434.77083333333</v>
      </c>
      <c r="D787" s="12">
        <v>45440.77083333333</v>
      </c>
      <c r="E787" s="11" t="s">
        <v>2502</v>
      </c>
      <c r="F787" s="11" t="s">
        <v>186</v>
      </c>
      <c r="G787" s="11" t="s">
        <v>51</v>
      </c>
      <c r="H787" s="11" t="s">
        <v>36</v>
      </c>
      <c r="I787" s="11" t="s">
        <v>266</v>
      </c>
      <c r="J787" s="11" t="s">
        <v>267</v>
      </c>
      <c r="K787" s="11" t="s">
        <v>39</v>
      </c>
      <c r="L787" s="11" t="s">
        <v>145</v>
      </c>
      <c r="M787" s="11" t="s">
        <v>2503</v>
      </c>
      <c r="N787" s="11" t="s">
        <v>58</v>
      </c>
      <c r="O787" s="11">
        <v>2</v>
      </c>
      <c r="P787" s="13">
        <v>3012.94</v>
      </c>
      <c r="Q787" s="14">
        <v>0.25</v>
      </c>
      <c r="R787" s="14">
        <v>0.25</v>
      </c>
      <c r="S787" s="13">
        <v>4519.41</v>
      </c>
      <c r="T787" s="13">
        <v>3504.16</v>
      </c>
      <c r="U787" s="13">
        <v>1275.55</v>
      </c>
      <c r="V787" s="11" t="s">
        <v>178</v>
      </c>
      <c r="W787" s="11" t="s">
        <v>85</v>
      </c>
      <c r="X787" s="13">
        <f>IF(OR(O787="",P787="",R787=""),"",O787*P787*(1-R787))</f>
        <v>4519.41</v>
      </c>
      <c r="Y787" s="13">
        <f>IF(OR(X787="",T787=""),"",X787-T787)</f>
        <v>1015.25</v>
      </c>
      <c r="Z787" s="14">
        <f>IFERROR(Y787/X787,"")</f>
        <v>0.2246</v>
      </c>
      <c r="AA787" s="11">
        <f>IF(OR(C787="",D787=""),"",D787-C787)</f>
        <v>6</v>
      </c>
      <c r="AB787" s="11">
        <f>IF(C787="","",MONTH(C787))</f>
        <v>5</v>
      </c>
      <c r="AC787" s="11">
        <f>IF(C787="","",YEAR(C787))</f>
        <v>2024</v>
      </c>
      <c r="AD787" s="11" t="s">
        <v>65</v>
      </c>
      <c r="AE787" s="11" t="s">
        <v>66</v>
      </c>
      <c r="AF787" s="11" t="s">
        <v>2504</v>
      </c>
    </row>
    <row r="788" spans="1:32" s="15" customFormat="1" x14ac:dyDescent="0.25">
      <c r="A788" s="16">
        <v>788</v>
      </c>
      <c r="B788" s="16" t="s">
        <v>2505</v>
      </c>
      <c r="C788" s="17">
        <v>45843.77083333333</v>
      </c>
      <c r="D788" s="17">
        <v>45845.77083333333</v>
      </c>
      <c r="E788" s="16" t="s">
        <v>2506</v>
      </c>
      <c r="F788" s="16" t="s">
        <v>79</v>
      </c>
      <c r="G788" s="16" t="s">
        <v>109</v>
      </c>
      <c r="H788" s="16" t="s">
        <v>36</v>
      </c>
      <c r="I788" s="16" t="s">
        <v>37</v>
      </c>
      <c r="J788" s="16" t="s">
        <v>38</v>
      </c>
      <c r="K788" s="16" t="s">
        <v>55</v>
      </c>
      <c r="L788" s="16" t="s">
        <v>74</v>
      </c>
      <c r="M788" s="16" t="s">
        <v>2507</v>
      </c>
      <c r="N788" s="16" t="s">
        <v>232</v>
      </c>
      <c r="O788" s="16">
        <v>4</v>
      </c>
      <c r="P788" s="18">
        <v>715.45</v>
      </c>
      <c r="Q788" s="19">
        <v>0.05</v>
      </c>
      <c r="R788" s="19">
        <v>0.05</v>
      </c>
      <c r="S788" s="18">
        <v>2718.71</v>
      </c>
      <c r="T788" s="18">
        <v>2065.05</v>
      </c>
      <c r="U788" s="18">
        <v>653.66</v>
      </c>
      <c r="V788" s="16" t="s">
        <v>121</v>
      </c>
      <c r="W788" s="16" t="s">
        <v>122</v>
      </c>
      <c r="X788" s="18">
        <f>IF(OR(O788="",P788="",R788=""),"",O788*P788*(1-R788))</f>
        <v>2718.71</v>
      </c>
      <c r="Y788" s="18">
        <f>IF(OR(X788="",T788=""),"",X788-T788)</f>
        <v>653.66</v>
      </c>
      <c r="Z788" s="19">
        <f>IFERROR(Y788/X788,"")</f>
        <v>0.2404</v>
      </c>
      <c r="AA788" s="16">
        <f>IF(OR(C788="",D788=""),"",D788-C788)</f>
        <v>2</v>
      </c>
      <c r="AB788" s="16">
        <f>IF(C788="","",MONTH(C788))</f>
        <v>7</v>
      </c>
      <c r="AC788" s="16">
        <f>IF(C788="","",YEAR(C788))</f>
        <v>2025</v>
      </c>
      <c r="AD788" s="16" t="s">
        <v>86</v>
      </c>
      <c r="AE788" s="16" t="s">
        <v>66</v>
      </c>
      <c r="AF788" s="16" t="s">
        <v>2508</v>
      </c>
    </row>
    <row r="789" spans="1:32" x14ac:dyDescent="0.25">
      <c r="A789" s="1">
        <v>789</v>
      </c>
      <c r="B789" s="1" t="s">
        <v>2509</v>
      </c>
      <c r="C789" s="2">
        <v>45546.77083333333</v>
      </c>
      <c r="D789" s="2">
        <v>45552.77083333333</v>
      </c>
      <c r="E789" s="1" t="s">
        <v>2510</v>
      </c>
      <c r="F789" s="1" t="s">
        <v>79</v>
      </c>
      <c r="G789" s="1" t="s">
        <v>114</v>
      </c>
      <c r="H789" s="1" t="s">
        <v>52</v>
      </c>
      <c r="I789" s="1" t="s">
        <v>168</v>
      </c>
      <c r="J789" s="1" t="s">
        <v>169</v>
      </c>
      <c r="K789" s="1" t="s">
        <v>39</v>
      </c>
      <c r="L789" s="1" t="s">
        <v>40</v>
      </c>
      <c r="M789" s="1" t="s">
        <v>2511</v>
      </c>
      <c r="N789" s="1" t="s">
        <v>42</v>
      </c>
      <c r="O789" s="1">
        <v>2</v>
      </c>
      <c r="P789" s="3">
        <v>3718.77</v>
      </c>
      <c r="Q789" s="4">
        <v>0.05</v>
      </c>
      <c r="R789" s="4">
        <v>0.05</v>
      </c>
      <c r="S789" s="3">
        <v>7065.66</v>
      </c>
      <c r="T789" s="3">
        <v>4915.27</v>
      </c>
      <c r="U789" s="3">
        <v>2150.39</v>
      </c>
      <c r="V789" s="1" t="s">
        <v>43</v>
      </c>
      <c r="W789" s="1" t="s">
        <v>44</v>
      </c>
      <c r="X789" s="3">
        <f>IF(OR(O789="",P789="",R789=""),"",O789*P789*(1-R789))</f>
        <v>7065.66</v>
      </c>
      <c r="Y789" s="3">
        <f>IF(OR(X789="",T789=""),"",X789-T789)</f>
        <v>2150.39</v>
      </c>
      <c r="Z789" s="4">
        <f>IFERROR(Y789/X789,"")</f>
        <v>0.3043</v>
      </c>
      <c r="AA789" s="1">
        <f>IF(OR(C789="",D789=""),"",D789-C789)</f>
        <v>6</v>
      </c>
      <c r="AB789" s="1">
        <f>IF(C789="","",MONTH(C789))</f>
        <v>9</v>
      </c>
      <c r="AC789" s="1">
        <f>IF(C789="","",YEAR(C789))</f>
        <v>2024</v>
      </c>
      <c r="AD789" s="1" t="s">
        <v>45</v>
      </c>
      <c r="AE789" s="1" t="s">
        <v>46</v>
      </c>
      <c r="AF789" s="1" t="s">
        <v>47</v>
      </c>
    </row>
    <row r="790" spans="1:32" s="15" customFormat="1" x14ac:dyDescent="0.25">
      <c r="A790" s="16">
        <v>790</v>
      </c>
      <c r="B790" s="16" t="s">
        <v>2512</v>
      </c>
      <c r="C790" s="17">
        <v>45504.77083333333</v>
      </c>
      <c r="D790" s="17">
        <v>45505.77083333333</v>
      </c>
      <c r="E790" s="16" t="s">
        <v>2513</v>
      </c>
      <c r="F790" s="16" t="s">
        <v>61</v>
      </c>
      <c r="G790" s="16" t="s">
        <v>109</v>
      </c>
      <c r="H790" s="16" t="s">
        <v>36</v>
      </c>
      <c r="I790" s="16" t="s">
        <v>157</v>
      </c>
      <c r="J790" s="16" t="s">
        <v>158</v>
      </c>
      <c r="K790" s="16" t="s">
        <v>55</v>
      </c>
      <c r="L790" s="16" t="s">
        <v>83</v>
      </c>
      <c r="M790" s="16" t="s">
        <v>2514</v>
      </c>
      <c r="N790" s="16" t="s">
        <v>76</v>
      </c>
      <c r="O790" s="16">
        <v>8</v>
      </c>
      <c r="P790" s="18">
        <v>2487.64</v>
      </c>
      <c r="Q790" s="19">
        <v>0.1</v>
      </c>
      <c r="R790" s="19">
        <v>0.1</v>
      </c>
      <c r="S790" s="18">
        <v>17911.01</v>
      </c>
      <c r="T790" s="18">
        <v>11546.05</v>
      </c>
      <c r="U790" s="18">
        <v>6364.96</v>
      </c>
      <c r="V790" s="16" t="s">
        <v>178</v>
      </c>
      <c r="W790" s="16" t="s">
        <v>122</v>
      </c>
      <c r="X790" s="18">
        <f>IF(OR(O790="",P790="",R790=""),"",O790*P790*(1-R790))</f>
        <v>17911.01</v>
      </c>
      <c r="Y790" s="18">
        <f>IF(OR(X790="",T790=""),"",X790-T790)</f>
        <v>6364.96</v>
      </c>
      <c r="Z790" s="19">
        <f>IFERROR(Y790/X790,"")</f>
        <v>0.3554</v>
      </c>
      <c r="AA790" s="16">
        <f>IF(OR(C790="",D790=""),"",D790-C790)</f>
        <v>1</v>
      </c>
      <c r="AB790" s="16">
        <f>IF(C790="","",MONTH(C790))</f>
        <v>8</v>
      </c>
      <c r="AC790" s="16">
        <f>IF(C790="","",YEAR(C790))</f>
        <v>2024</v>
      </c>
      <c r="AD790" s="16" t="s">
        <v>86</v>
      </c>
      <c r="AE790" s="16" t="s">
        <v>66</v>
      </c>
      <c r="AF790" s="16" t="s">
        <v>179</v>
      </c>
    </row>
    <row r="791" spans="1:32" s="15" customFormat="1" x14ac:dyDescent="0.25">
      <c r="A791" s="16">
        <v>791</v>
      </c>
      <c r="B791" s="16" t="s">
        <v>2515</v>
      </c>
      <c r="C791" s="17">
        <v>45722.77083333333</v>
      </c>
      <c r="D791" s="17">
        <v>45723.77083333333</v>
      </c>
      <c r="E791" s="16" t="s">
        <v>2516</v>
      </c>
      <c r="F791" s="16" t="s">
        <v>135</v>
      </c>
      <c r="G791" s="16" t="s">
        <v>114</v>
      </c>
      <c r="H791" s="16" t="s">
        <v>232</v>
      </c>
      <c r="I791" s="16" t="s">
        <v>37</v>
      </c>
      <c r="J791" s="16" t="s">
        <v>129</v>
      </c>
      <c r="K791" s="16" t="s">
        <v>93</v>
      </c>
      <c r="L791" s="16" t="s">
        <v>99</v>
      </c>
      <c r="M791" s="16" t="s">
        <v>2517</v>
      </c>
      <c r="N791" s="16" t="s">
        <v>58</v>
      </c>
      <c r="O791" s="16">
        <v>4</v>
      </c>
      <c r="P791" s="18">
        <v>3537.48</v>
      </c>
      <c r="Q791" s="19">
        <v>0</v>
      </c>
      <c r="R791" s="19">
        <v>0</v>
      </c>
      <c r="S791" s="18">
        <v>14149.92</v>
      </c>
      <c r="T791" s="18">
        <v>9466.51</v>
      </c>
      <c r="U791" s="18">
        <v>4683.41</v>
      </c>
      <c r="V791" s="16" t="s">
        <v>43</v>
      </c>
      <c r="W791" s="16" t="s">
        <v>44</v>
      </c>
      <c r="X791" s="18">
        <f>IF(OR(O791="",P791="",R791=""),"",O791*P791*(1-R791))</f>
        <v>14149.92</v>
      </c>
      <c r="Y791" s="18">
        <f>IF(OR(X791="",T791=""),"",X791-T791)</f>
        <v>4683.41</v>
      </c>
      <c r="Z791" s="19">
        <f>IFERROR(Y791/X791,"")</f>
        <v>0.331</v>
      </c>
      <c r="AA791" s="16">
        <f>IF(OR(C791="",D791=""),"",D791-C791)</f>
        <v>1</v>
      </c>
      <c r="AB791" s="16">
        <f>IF(C791="","",MONTH(C791))</f>
        <v>3</v>
      </c>
      <c r="AC791" s="16">
        <f>IF(C791="","",YEAR(C791))</f>
        <v>2025</v>
      </c>
      <c r="AD791" s="16" t="s">
        <v>86</v>
      </c>
      <c r="AE791" s="16" t="s">
        <v>46</v>
      </c>
      <c r="AF791" s="16" t="s">
        <v>487</v>
      </c>
    </row>
    <row r="792" spans="1:32" x14ac:dyDescent="0.25">
      <c r="A792" s="1">
        <v>792</v>
      </c>
      <c r="B792" s="1" t="s">
        <v>2518</v>
      </c>
      <c r="C792" s="2">
        <v>45442.77083333333</v>
      </c>
      <c r="D792" s="2">
        <v>45444.77083333333</v>
      </c>
      <c r="E792" s="1" t="s">
        <v>2519</v>
      </c>
      <c r="F792" s="1" t="s">
        <v>139</v>
      </c>
      <c r="G792" s="1" t="s">
        <v>109</v>
      </c>
      <c r="H792" s="1" t="s">
        <v>71</v>
      </c>
      <c r="I792" s="1" t="s">
        <v>103</v>
      </c>
      <c r="J792" s="1" t="s">
        <v>104</v>
      </c>
      <c r="K792" s="1" t="s">
        <v>39</v>
      </c>
      <c r="L792" s="1" t="s">
        <v>62</v>
      </c>
      <c r="M792" s="1" t="s">
        <v>2520</v>
      </c>
      <c r="N792" s="1" t="s">
        <v>76</v>
      </c>
      <c r="O792" s="1">
        <v>8</v>
      </c>
      <c r="P792" s="3">
        <v>667.59</v>
      </c>
      <c r="Q792" s="4">
        <v>0.2</v>
      </c>
      <c r="R792" s="4">
        <v>0.2</v>
      </c>
      <c r="S792" s="3">
        <v>4272.58</v>
      </c>
      <c r="T792" s="3">
        <v>3328.92</v>
      </c>
      <c r="U792" s="3">
        <v>943.66</v>
      </c>
      <c r="V792" s="1" t="s">
        <v>43</v>
      </c>
      <c r="W792" s="1" t="s">
        <v>44</v>
      </c>
      <c r="X792" s="3">
        <f>IF(OR(O792="",P792="",R792=""),"",O792*P792*(1-R792))</f>
        <v>4272.58</v>
      </c>
      <c r="Y792" s="3">
        <f>IF(OR(X792="",T792=""),"",X792-T792)</f>
        <v>943.66</v>
      </c>
      <c r="Z792" s="4">
        <f>IFERROR(Y792/X792,"")</f>
        <v>0.2209</v>
      </c>
      <c r="AA792" s="1">
        <f>IF(OR(C792="",D792=""),"",D792-C792)</f>
        <v>2</v>
      </c>
      <c r="AB792" s="1">
        <f>IF(C792="","",MONTH(C792))</f>
        <v>5</v>
      </c>
      <c r="AC792" s="1">
        <f>IF(C792="","",YEAR(C792))</f>
        <v>2024</v>
      </c>
      <c r="AD792" s="1" t="s">
        <v>45</v>
      </c>
      <c r="AE792" s="1" t="s">
        <v>46</v>
      </c>
      <c r="AF792" s="1" t="s">
        <v>47</v>
      </c>
    </row>
    <row r="793" spans="1:32" x14ac:dyDescent="0.25">
      <c r="A793" s="1">
        <v>793</v>
      </c>
      <c r="B793" s="1" t="s">
        <v>2521</v>
      </c>
      <c r="C793" s="2">
        <v>45566.77083333333</v>
      </c>
      <c r="D793" s="2">
        <v>45570.77083333333</v>
      </c>
      <c r="E793" s="1" t="s">
        <v>2522</v>
      </c>
      <c r="F793" s="1" t="s">
        <v>139</v>
      </c>
      <c r="G793" s="1" t="s">
        <v>114</v>
      </c>
      <c r="H793" s="1" t="s">
        <v>71</v>
      </c>
      <c r="I793" s="1" t="s">
        <v>201</v>
      </c>
      <c r="J793" s="1" t="s">
        <v>202</v>
      </c>
      <c r="K793" s="1" t="s">
        <v>55</v>
      </c>
      <c r="L793" s="1" t="s">
        <v>182</v>
      </c>
      <c r="M793" s="1" t="s">
        <v>2523</v>
      </c>
      <c r="N793" s="1" t="s">
        <v>58</v>
      </c>
      <c r="O793" s="1">
        <v>8</v>
      </c>
      <c r="P793" s="3">
        <v>1558.77</v>
      </c>
      <c r="Q793" s="4">
        <v>0.25</v>
      </c>
      <c r="R793" s="4">
        <v>0.25</v>
      </c>
      <c r="S793" s="3">
        <v>9352.62</v>
      </c>
      <c r="T793" s="3">
        <v>5269.41</v>
      </c>
      <c r="U793" s="3">
        <v>4083.21</v>
      </c>
      <c r="V793" s="1" t="s">
        <v>43</v>
      </c>
      <c r="W793" s="1" t="s">
        <v>44</v>
      </c>
      <c r="X793" s="3">
        <f>IF(OR(O793="",P793="",R793=""),"",O793*P793*(1-R793))</f>
        <v>9352.62</v>
      </c>
      <c r="Y793" s="3">
        <f>IF(OR(X793="",T793=""),"",X793-T793)</f>
        <v>4083.21</v>
      </c>
      <c r="Z793" s="4">
        <f>IFERROR(Y793/X793,"")</f>
        <v>0.4366</v>
      </c>
      <c r="AA793" s="1">
        <f>IF(OR(C793="",D793=""),"",D793-C793)</f>
        <v>4</v>
      </c>
      <c r="AB793" s="1">
        <f>IF(C793="","",MONTH(C793))</f>
        <v>10</v>
      </c>
      <c r="AC793" s="1">
        <f>IF(C793="","",YEAR(C793))</f>
        <v>2024</v>
      </c>
      <c r="AD793" s="1" t="s">
        <v>45</v>
      </c>
      <c r="AE793" s="1" t="s">
        <v>46</v>
      </c>
      <c r="AF793" s="1" t="s">
        <v>47</v>
      </c>
    </row>
    <row r="794" spans="1:32" s="15" customFormat="1" x14ac:dyDescent="0.25">
      <c r="A794" s="16">
        <v>794</v>
      </c>
      <c r="B794" s="16" t="s">
        <v>2524</v>
      </c>
      <c r="C794" s="17">
        <v>45811.77083333333</v>
      </c>
      <c r="D794" s="17">
        <v>45815.77083333333</v>
      </c>
      <c r="E794" s="16" t="s">
        <v>2525</v>
      </c>
      <c r="F794" s="16" t="s">
        <v>70</v>
      </c>
      <c r="G794" s="16" t="s">
        <v>51</v>
      </c>
      <c r="H794" s="16" t="s">
        <v>52</v>
      </c>
      <c r="I794" s="16" t="s">
        <v>191</v>
      </c>
      <c r="J794" s="16" t="s">
        <v>192</v>
      </c>
      <c r="K794" s="16" t="s">
        <v>55</v>
      </c>
      <c r="L794" s="16" t="s">
        <v>74</v>
      </c>
      <c r="M794" s="16" t="s">
        <v>2526</v>
      </c>
      <c r="N794" s="16" t="s">
        <v>42</v>
      </c>
      <c r="O794" s="16">
        <v>1</v>
      </c>
      <c r="P794" s="18">
        <v>3501.12</v>
      </c>
      <c r="Q794" s="19">
        <v>0.2</v>
      </c>
      <c r="R794" s="19">
        <v>0.2</v>
      </c>
      <c r="S794" s="18">
        <v>2800.9</v>
      </c>
      <c r="T794" s="18">
        <v>1735.98</v>
      </c>
      <c r="U794" s="18">
        <v>1064.92</v>
      </c>
      <c r="V794" s="16" t="s">
        <v>43</v>
      </c>
      <c r="W794" s="16" t="s">
        <v>122</v>
      </c>
      <c r="X794" s="18">
        <f>IF(OR(O794="",P794="",R794=""),"",O794*P794*(1-R794))</f>
        <v>2800.9</v>
      </c>
      <c r="Y794" s="18">
        <f>IF(OR(X794="",T794=""),"",X794-T794)</f>
        <v>1064.92</v>
      </c>
      <c r="Z794" s="19">
        <f>IFERROR(Y794/X794,"")</f>
        <v>0.3802</v>
      </c>
      <c r="AA794" s="16">
        <f>IF(OR(C794="",D794=""),"",D794-C794)</f>
        <v>4</v>
      </c>
      <c r="AB794" s="16">
        <f>IF(C794="","",MONTH(C794))</f>
        <v>6</v>
      </c>
      <c r="AC794" s="16">
        <f>IF(C794="","",YEAR(C794))</f>
        <v>2025</v>
      </c>
      <c r="AD794" s="16" t="s">
        <v>86</v>
      </c>
      <c r="AE794" s="16" t="s">
        <v>66</v>
      </c>
      <c r="AF794" s="16" t="s">
        <v>198</v>
      </c>
    </row>
    <row r="795" spans="1:32" x14ac:dyDescent="0.25">
      <c r="A795" s="1">
        <v>795</v>
      </c>
      <c r="B795" s="1" t="s">
        <v>2527</v>
      </c>
      <c r="C795" s="2">
        <v>45439.77083333333</v>
      </c>
      <c r="D795" s="2">
        <v>45445.77083333333</v>
      </c>
      <c r="E795" s="1" t="s">
        <v>2528</v>
      </c>
      <c r="F795" s="1" t="s">
        <v>90</v>
      </c>
      <c r="G795" s="1" t="s">
        <v>109</v>
      </c>
      <c r="H795" s="1" t="s">
        <v>36</v>
      </c>
      <c r="I795" s="1" t="s">
        <v>37</v>
      </c>
      <c r="J795" s="1" t="s">
        <v>38</v>
      </c>
      <c r="K795" s="1" t="s">
        <v>93</v>
      </c>
      <c r="L795" s="1" t="s">
        <v>99</v>
      </c>
      <c r="M795" s="1" t="s">
        <v>2529</v>
      </c>
      <c r="N795" s="1" t="s">
        <v>42</v>
      </c>
      <c r="O795" s="1">
        <v>5</v>
      </c>
      <c r="P795" s="3">
        <v>4302.32</v>
      </c>
      <c r="Q795" s="4">
        <v>0</v>
      </c>
      <c r="R795" s="4">
        <v>0</v>
      </c>
      <c r="S795" s="3">
        <v>21511.6</v>
      </c>
      <c r="T795" s="3">
        <v>15408.47</v>
      </c>
      <c r="U795" s="3">
        <v>6103.13</v>
      </c>
      <c r="V795" s="1" t="s">
        <v>43</v>
      </c>
      <c r="W795" s="1" t="s">
        <v>44</v>
      </c>
      <c r="X795" s="3">
        <f>IF(OR(O795="",P795="",R795=""),"",O795*P795*(1-R795))</f>
        <v>21511.6</v>
      </c>
      <c r="Y795" s="3">
        <f>IF(OR(X795="",T795=""),"",X795-T795)</f>
        <v>6103.13</v>
      </c>
      <c r="Z795" s="4">
        <f>IFERROR(Y795/X795,"")</f>
        <v>0.2837</v>
      </c>
      <c r="AA795" s="1">
        <f>IF(OR(C795="",D795=""),"",D795-C795)</f>
        <v>6</v>
      </c>
      <c r="AB795" s="1">
        <f>IF(C795="","",MONTH(C795))</f>
        <v>5</v>
      </c>
      <c r="AC795" s="1">
        <f>IF(C795="","",YEAR(C795))</f>
        <v>2024</v>
      </c>
      <c r="AD795" s="1" t="s">
        <v>45</v>
      </c>
      <c r="AE795" s="1" t="s">
        <v>46</v>
      </c>
      <c r="AF795" s="1" t="s">
        <v>47</v>
      </c>
    </row>
    <row r="796" spans="1:32" x14ac:dyDescent="0.25">
      <c r="A796" s="1">
        <v>796</v>
      </c>
      <c r="B796" s="1" t="s">
        <v>2530</v>
      </c>
      <c r="C796" s="2">
        <v>45829.77083333333</v>
      </c>
      <c r="D796" s="2">
        <v>45831.77083333333</v>
      </c>
      <c r="E796" s="1" t="s">
        <v>2531</v>
      </c>
      <c r="F796" s="1" t="s">
        <v>153</v>
      </c>
      <c r="G796" s="1" t="s">
        <v>109</v>
      </c>
      <c r="H796" s="1" t="s">
        <v>52</v>
      </c>
      <c r="I796" s="1" t="s">
        <v>191</v>
      </c>
      <c r="J796" s="1" t="s">
        <v>192</v>
      </c>
      <c r="K796" s="1" t="s">
        <v>39</v>
      </c>
      <c r="L796" s="1" t="s">
        <v>40</v>
      </c>
      <c r="M796" s="1" t="s">
        <v>2532</v>
      </c>
      <c r="N796" s="1" t="s">
        <v>76</v>
      </c>
      <c r="O796" s="1">
        <v>9</v>
      </c>
      <c r="P796" s="3">
        <v>951.55</v>
      </c>
      <c r="Q796" s="4">
        <v>0.15</v>
      </c>
      <c r="R796" s="4">
        <v>0.15</v>
      </c>
      <c r="S796" s="3">
        <v>7279.36</v>
      </c>
      <c r="T796" s="3">
        <v>4870.39</v>
      </c>
      <c r="U796" s="3">
        <v>2408.97</v>
      </c>
      <c r="V796" s="1" t="s">
        <v>43</v>
      </c>
      <c r="W796" s="1" t="s">
        <v>44</v>
      </c>
      <c r="X796" s="3">
        <f>IF(OR(O796="",P796="",R796=""),"",O796*P796*(1-R796))</f>
        <v>7279.36</v>
      </c>
      <c r="Y796" s="3">
        <f>IF(OR(X796="",T796=""),"",X796-T796)</f>
        <v>2408.97</v>
      </c>
      <c r="Z796" s="4">
        <f>IFERROR(Y796/X796,"")</f>
        <v>0.3309</v>
      </c>
      <c r="AA796" s="1">
        <f>IF(OR(C796="",D796=""),"",D796-C796)</f>
        <v>2</v>
      </c>
      <c r="AB796" s="1">
        <f>IF(C796="","",MONTH(C796))</f>
        <v>6</v>
      </c>
      <c r="AC796" s="1">
        <f>IF(C796="","",YEAR(C796))</f>
        <v>2025</v>
      </c>
      <c r="AD796" s="1" t="s">
        <v>45</v>
      </c>
      <c r="AE796" s="1" t="s">
        <v>46</v>
      </c>
      <c r="AF796" s="1" t="s">
        <v>47</v>
      </c>
    </row>
    <row r="797" spans="1:32" s="15" customFormat="1" x14ac:dyDescent="0.25">
      <c r="A797" s="16">
        <v>797</v>
      </c>
      <c r="B797" s="16" t="s">
        <v>2533</v>
      </c>
      <c r="C797" s="17">
        <v>45502.77083333333</v>
      </c>
      <c r="D797" s="17">
        <v>45502.77083333333</v>
      </c>
      <c r="E797" s="16" t="s">
        <v>2534</v>
      </c>
      <c r="F797" s="16" t="s">
        <v>186</v>
      </c>
      <c r="G797" s="16" t="s">
        <v>114</v>
      </c>
      <c r="H797" s="16" t="s">
        <v>52</v>
      </c>
      <c r="I797" s="16" t="s">
        <v>53</v>
      </c>
      <c r="J797" s="16" t="s">
        <v>54</v>
      </c>
      <c r="K797" s="16" t="s">
        <v>93</v>
      </c>
      <c r="L797" s="16" t="s">
        <v>99</v>
      </c>
      <c r="M797" s="16" t="s">
        <v>2535</v>
      </c>
      <c r="N797" s="16" t="s">
        <v>58</v>
      </c>
      <c r="O797" s="16">
        <v>9</v>
      </c>
      <c r="P797" s="18">
        <v>2894.66</v>
      </c>
      <c r="Q797" s="19">
        <v>0</v>
      </c>
      <c r="R797" s="19">
        <v>0</v>
      </c>
      <c r="S797" s="18">
        <v>26051.94</v>
      </c>
      <c r="T797" s="18">
        <v>16883.59</v>
      </c>
      <c r="U797" s="18">
        <v>9168.35</v>
      </c>
      <c r="V797" s="16" t="s">
        <v>121</v>
      </c>
      <c r="W797" s="16" t="s">
        <v>85</v>
      </c>
      <c r="X797" s="18">
        <f>IF(OR(O797="",P797="",R797=""),"",O797*P797*(1-R797))</f>
        <v>26051.94</v>
      </c>
      <c r="Y797" s="18">
        <f>IF(OR(X797="",T797=""),"",X797-T797)</f>
        <v>9168.35</v>
      </c>
      <c r="Z797" s="19">
        <f>IFERROR(Y797/X797,"")</f>
        <v>0.3519</v>
      </c>
      <c r="AA797" s="16">
        <f>IF(OR(C797="",D797=""),"",D797-C797)</f>
        <v>0</v>
      </c>
      <c r="AB797" s="16">
        <f>IF(C797="","",MONTH(C797))</f>
        <v>7</v>
      </c>
      <c r="AC797" s="16">
        <f>IF(C797="","",YEAR(C797))</f>
        <v>2024</v>
      </c>
      <c r="AD797" s="16" t="s">
        <v>86</v>
      </c>
      <c r="AE797" s="16" t="s">
        <v>66</v>
      </c>
      <c r="AF797" s="16" t="s">
        <v>160</v>
      </c>
    </row>
    <row r="798" spans="1:32" x14ac:dyDescent="0.25">
      <c r="A798" s="1">
        <v>798</v>
      </c>
      <c r="B798" s="1" t="s">
        <v>2536</v>
      </c>
      <c r="C798" s="2">
        <v>45373.77083333333</v>
      </c>
      <c r="D798" s="2">
        <v>45380.77083333333</v>
      </c>
      <c r="E798" s="1" t="s">
        <v>2537</v>
      </c>
      <c r="F798" s="1" t="s">
        <v>163</v>
      </c>
      <c r="G798" s="1" t="s">
        <v>51</v>
      </c>
      <c r="H798" s="1" t="s">
        <v>71</v>
      </c>
      <c r="I798" s="1" t="s">
        <v>103</v>
      </c>
      <c r="J798" s="1" t="s">
        <v>104</v>
      </c>
      <c r="K798" s="1" t="s">
        <v>93</v>
      </c>
      <c r="L798" s="1" t="s">
        <v>305</v>
      </c>
      <c r="M798" s="1" t="s">
        <v>2538</v>
      </c>
      <c r="N798" s="1" t="s">
        <v>64</v>
      </c>
      <c r="O798" s="1">
        <v>6</v>
      </c>
      <c r="P798" s="3">
        <v>1894.44</v>
      </c>
      <c r="Q798" s="4">
        <v>0.15</v>
      </c>
      <c r="R798" s="4">
        <v>0.15</v>
      </c>
      <c r="S798" s="3">
        <v>9661.64</v>
      </c>
      <c r="T798" s="3">
        <v>6303.77</v>
      </c>
      <c r="U798" s="3">
        <v>3357.87</v>
      </c>
      <c r="V798" s="1" t="s">
        <v>43</v>
      </c>
      <c r="W798" s="1" t="s">
        <v>44</v>
      </c>
      <c r="X798" s="3">
        <f>IF(OR(O798="",P798="",R798=""),"",O798*P798*(1-R798))</f>
        <v>9661.64</v>
      </c>
      <c r="Y798" s="3">
        <f>IF(OR(X798="",T798=""),"",X798-T798)</f>
        <v>3357.87</v>
      </c>
      <c r="Z798" s="4">
        <f>IFERROR(Y798/X798,"")</f>
        <v>0.3475</v>
      </c>
      <c r="AA798" s="1">
        <f>IF(OR(C798="",D798=""),"",D798-C798)</f>
        <v>7</v>
      </c>
      <c r="AB798" s="1">
        <f>IF(C798="","",MONTH(C798))</f>
        <v>3</v>
      </c>
      <c r="AC798" s="1">
        <f>IF(C798="","",YEAR(C798))</f>
        <v>2024</v>
      </c>
      <c r="AD798" s="1" t="s">
        <v>45</v>
      </c>
      <c r="AE798" s="1" t="s">
        <v>46</v>
      </c>
      <c r="AF798" s="1" t="s">
        <v>47</v>
      </c>
    </row>
    <row r="799" spans="1:32" s="15" customFormat="1" x14ac:dyDescent="0.25">
      <c r="A799" s="16">
        <v>799</v>
      </c>
      <c r="B799" s="16" t="s">
        <v>2539</v>
      </c>
      <c r="C799" s="17">
        <v>45399.77083333333</v>
      </c>
      <c r="D799" s="17">
        <v>45403.77083333333</v>
      </c>
      <c r="E799" s="16" t="s">
        <v>2540</v>
      </c>
      <c r="F799" s="16" t="s">
        <v>149</v>
      </c>
      <c r="G799" s="16" t="s">
        <v>35</v>
      </c>
      <c r="H799" s="16" t="s">
        <v>52</v>
      </c>
      <c r="I799" s="16" t="s">
        <v>53</v>
      </c>
      <c r="J799" s="16" t="s">
        <v>54</v>
      </c>
      <c r="K799" s="16" t="s">
        <v>39</v>
      </c>
      <c r="L799" s="16" t="s">
        <v>176</v>
      </c>
      <c r="M799" s="16" t="s">
        <v>2541</v>
      </c>
      <c r="N799" s="16" t="s">
        <v>64</v>
      </c>
      <c r="O799" s="16">
        <v>8</v>
      </c>
      <c r="P799" s="18">
        <v>1714.37</v>
      </c>
      <c r="Q799" s="19">
        <v>0</v>
      </c>
      <c r="R799" s="19">
        <v>0</v>
      </c>
      <c r="S799" s="18">
        <v>13714.96</v>
      </c>
      <c r="T799" s="18">
        <v>10550.47</v>
      </c>
      <c r="U799" s="18">
        <v>3164.49</v>
      </c>
      <c r="V799" s="16" t="s">
        <v>178</v>
      </c>
      <c r="W799" s="16" t="s">
        <v>85</v>
      </c>
      <c r="X799" s="18">
        <f>IF(OR(O799="",P799="",R799=""),"",O799*P799*(1-R799))</f>
        <v>13714.96</v>
      </c>
      <c r="Y799" s="18">
        <f>IF(OR(X799="",T799=""),"",X799-T799)</f>
        <v>3164.49</v>
      </c>
      <c r="Z799" s="19">
        <f>IFERROR(Y799/X799,"")</f>
        <v>0.2307</v>
      </c>
      <c r="AA799" s="16">
        <f>IF(OR(C799="",D799=""),"",D799-C799)</f>
        <v>4</v>
      </c>
      <c r="AB799" s="16">
        <f>IF(C799="","",MONTH(C799))</f>
        <v>4</v>
      </c>
      <c r="AC799" s="16">
        <f>IF(C799="","",YEAR(C799))</f>
        <v>2024</v>
      </c>
      <c r="AD799" s="16" t="s">
        <v>86</v>
      </c>
      <c r="AE799" s="16" t="s">
        <v>66</v>
      </c>
      <c r="AF799" s="16" t="s">
        <v>296</v>
      </c>
    </row>
    <row r="800" spans="1:32" s="10" customFormat="1" x14ac:dyDescent="0.25">
      <c r="A800" s="11">
        <v>800</v>
      </c>
      <c r="B800" s="11" t="s">
        <v>2542</v>
      </c>
      <c r="C800" s="12">
        <v>45848.77083333333</v>
      </c>
      <c r="D800" s="12">
        <v>45846.77083333333</v>
      </c>
      <c r="E800" s="11" t="s">
        <v>2543</v>
      </c>
      <c r="F800" s="11" t="s">
        <v>108</v>
      </c>
      <c r="G800" s="11" t="s">
        <v>109</v>
      </c>
      <c r="H800" s="11" t="s">
        <v>36</v>
      </c>
      <c r="I800" s="11" t="s">
        <v>384</v>
      </c>
      <c r="J800" s="11" t="s">
        <v>385</v>
      </c>
      <c r="K800" s="11" t="s">
        <v>55</v>
      </c>
      <c r="L800" s="11" t="s">
        <v>74</v>
      </c>
      <c r="M800" s="11" t="s">
        <v>2544</v>
      </c>
      <c r="N800" s="11" t="s">
        <v>76</v>
      </c>
      <c r="O800" s="11">
        <v>9</v>
      </c>
      <c r="P800" s="13">
        <v>1706.05</v>
      </c>
      <c r="Q800" s="14">
        <v>0</v>
      </c>
      <c r="R800" s="14">
        <v>0</v>
      </c>
      <c r="S800" s="13">
        <v>15354.45</v>
      </c>
      <c r="T800" s="13">
        <v>9656.5</v>
      </c>
      <c r="U800" s="13">
        <v>5697.95</v>
      </c>
      <c r="V800" s="11" t="s">
        <v>43</v>
      </c>
      <c r="W800" s="11" t="s">
        <v>44</v>
      </c>
      <c r="X800" s="13">
        <f>IF(OR(O800="",P800="",R800=""),"",O800*P800*(1-R800))</f>
        <v>15354.45</v>
      </c>
      <c r="Y800" s="13">
        <f>IF(OR(X800="",T800=""),"",X800-T800)</f>
        <v>5697.95</v>
      </c>
      <c r="Z800" s="14">
        <f>IFERROR(Y800/X800,"")</f>
        <v>0.3711</v>
      </c>
      <c r="AA800" s="11">
        <f>IF(OR(C800="",D800=""),"",D800-C800)</f>
        <v>-2</v>
      </c>
      <c r="AB800" s="11">
        <f>IF(C800="","",MONTH(C800))</f>
        <v>7</v>
      </c>
      <c r="AC800" s="11">
        <f>IF(C800="","",YEAR(C800))</f>
        <v>2025</v>
      </c>
      <c r="AD800" s="11" t="s">
        <v>65</v>
      </c>
      <c r="AE800" s="11" t="s">
        <v>66</v>
      </c>
      <c r="AF800" s="11" t="s">
        <v>360</v>
      </c>
    </row>
    <row r="801" spans="1:32" s="15" customFormat="1" x14ac:dyDescent="0.25">
      <c r="A801" s="16">
        <v>801</v>
      </c>
      <c r="B801" s="16" t="s">
        <v>2545</v>
      </c>
      <c r="C801" s="17">
        <v>45574.77083333333</v>
      </c>
      <c r="D801" s="17">
        <v>45581.77083333333</v>
      </c>
      <c r="E801" s="16" t="s">
        <v>2546</v>
      </c>
      <c r="F801" s="16" t="s">
        <v>61</v>
      </c>
      <c r="G801" s="16" t="s">
        <v>114</v>
      </c>
      <c r="H801" s="16" t="s">
        <v>36</v>
      </c>
      <c r="I801" s="16" t="s">
        <v>266</v>
      </c>
      <c r="J801" s="16" t="s">
        <v>267</v>
      </c>
      <c r="K801" s="16" t="s">
        <v>93</v>
      </c>
      <c r="L801" s="16" t="s">
        <v>94</v>
      </c>
      <c r="M801" s="16" t="s">
        <v>2547</v>
      </c>
      <c r="N801" s="16" t="s">
        <v>232</v>
      </c>
      <c r="O801" s="16">
        <v>5</v>
      </c>
      <c r="P801" s="18">
        <v>967.41</v>
      </c>
      <c r="Q801" s="19">
        <v>0.05</v>
      </c>
      <c r="R801" s="19">
        <v>0.05</v>
      </c>
      <c r="S801" s="18">
        <v>4595.2</v>
      </c>
      <c r="T801" s="18">
        <v>3887.41</v>
      </c>
      <c r="U801" s="18">
        <v>707.79</v>
      </c>
      <c r="V801" s="16" t="s">
        <v>43</v>
      </c>
      <c r="W801" s="16" t="s">
        <v>122</v>
      </c>
      <c r="X801" s="18">
        <f>IF(OR(O801="",P801="",R801=""),"",O801*P801*(1-R801))</f>
        <v>4595.2</v>
      </c>
      <c r="Y801" s="18">
        <f>IF(OR(X801="",T801=""),"",X801-T801)</f>
        <v>707.79</v>
      </c>
      <c r="Z801" s="19">
        <f>IFERROR(Y801/X801,"")</f>
        <v>0.154</v>
      </c>
      <c r="AA801" s="16">
        <f>IF(OR(C801="",D801=""),"",D801-C801)</f>
        <v>7</v>
      </c>
      <c r="AB801" s="16">
        <f>IF(C801="","",MONTH(C801))</f>
        <v>10</v>
      </c>
      <c r="AC801" s="16">
        <f>IF(C801="","",YEAR(C801))</f>
        <v>2024</v>
      </c>
      <c r="AD801" s="16" t="s">
        <v>86</v>
      </c>
      <c r="AE801" s="16" t="s">
        <v>66</v>
      </c>
      <c r="AF801" s="16" t="s">
        <v>2548</v>
      </c>
    </row>
    <row r="802" spans="1:32" x14ac:dyDescent="0.25">
      <c r="A802" s="1">
        <v>802</v>
      </c>
      <c r="B802" s="1" t="s">
        <v>2549</v>
      </c>
      <c r="C802" s="2">
        <v>45351.77083333333</v>
      </c>
      <c r="D802" s="2">
        <v>45357.77083333333</v>
      </c>
      <c r="E802" s="1" t="s">
        <v>2550</v>
      </c>
      <c r="F802" s="1" t="s">
        <v>90</v>
      </c>
      <c r="G802" s="1" t="s">
        <v>51</v>
      </c>
      <c r="H802" s="1" t="s">
        <v>80</v>
      </c>
      <c r="I802" s="1" t="s">
        <v>81</v>
      </c>
      <c r="J802" s="1" t="s">
        <v>82</v>
      </c>
      <c r="K802" s="1" t="s">
        <v>39</v>
      </c>
      <c r="L802" s="1" t="s">
        <v>145</v>
      </c>
      <c r="M802" s="1" t="s">
        <v>2551</v>
      </c>
      <c r="N802" s="1" t="s">
        <v>42</v>
      </c>
      <c r="O802" s="1">
        <v>6</v>
      </c>
      <c r="P802" s="3">
        <v>4163.72</v>
      </c>
      <c r="Q802" s="4">
        <v>0.15</v>
      </c>
      <c r="R802" s="4">
        <v>0.15</v>
      </c>
      <c r="S802" s="3">
        <v>21234.97</v>
      </c>
      <c r="T802" s="3">
        <v>16736.09</v>
      </c>
      <c r="U802" s="3">
        <v>4498.88</v>
      </c>
      <c r="V802" s="1" t="s">
        <v>43</v>
      </c>
      <c r="W802" s="1" t="s">
        <v>44</v>
      </c>
      <c r="X802" s="3">
        <f>IF(OR(O802="",P802="",R802=""),"",O802*P802*(1-R802))</f>
        <v>21234.97</v>
      </c>
      <c r="Y802" s="3">
        <f>IF(OR(X802="",T802=""),"",X802-T802)</f>
        <v>4498.88</v>
      </c>
      <c r="Z802" s="4">
        <f>IFERROR(Y802/X802,"")</f>
        <v>0.2119</v>
      </c>
      <c r="AA802" s="1">
        <f>IF(OR(C802="",D802=""),"",D802-C802)</f>
        <v>6</v>
      </c>
      <c r="AB802" s="1">
        <f>IF(C802="","",MONTH(C802))</f>
        <v>3</v>
      </c>
      <c r="AC802" s="1">
        <f>IF(C802="","",YEAR(C802))</f>
        <v>2024</v>
      </c>
      <c r="AD802" s="1" t="s">
        <v>45</v>
      </c>
      <c r="AE802" s="1" t="s">
        <v>46</v>
      </c>
      <c r="AF802" s="1" t="s">
        <v>47</v>
      </c>
    </row>
    <row r="803" spans="1:32" s="15" customFormat="1" x14ac:dyDescent="0.25">
      <c r="A803" s="16">
        <v>803</v>
      </c>
      <c r="B803" s="16" t="s">
        <v>2552</v>
      </c>
      <c r="C803" s="17">
        <v>45937.77083333333</v>
      </c>
      <c r="D803" s="17">
        <v>45944.77083333333</v>
      </c>
      <c r="E803" s="16" t="s">
        <v>2553</v>
      </c>
      <c r="F803" s="16" t="s">
        <v>149</v>
      </c>
      <c r="G803" s="16" t="s">
        <v>114</v>
      </c>
      <c r="H803" s="16" t="s">
        <v>52</v>
      </c>
      <c r="I803" s="16" t="s">
        <v>53</v>
      </c>
      <c r="J803" s="16" t="s">
        <v>54</v>
      </c>
      <c r="K803" s="16" t="s">
        <v>93</v>
      </c>
      <c r="L803" s="16" t="s">
        <v>94</v>
      </c>
      <c r="M803" s="16" t="s">
        <v>2554</v>
      </c>
      <c r="N803" s="16" t="s">
        <v>42</v>
      </c>
      <c r="O803" s="16">
        <v>3</v>
      </c>
      <c r="P803" s="18">
        <v>3372.21</v>
      </c>
      <c r="Q803" s="19">
        <v>0.2</v>
      </c>
      <c r="R803" s="19">
        <v>0.2</v>
      </c>
      <c r="S803" s="18">
        <v>8093.3</v>
      </c>
      <c r="T803" s="18">
        <v>6052.43</v>
      </c>
      <c r="U803" s="18">
        <v>2040.87</v>
      </c>
      <c r="V803" s="16" t="s">
        <v>131</v>
      </c>
      <c r="W803" s="16" t="s">
        <v>85</v>
      </c>
      <c r="X803" s="18">
        <f>IF(OR(O803="",P803="",R803=""),"",O803*P803*(1-R803))</f>
        <v>8093.3</v>
      </c>
      <c r="Y803" s="18">
        <f>IF(OR(X803="",T803=""),"",X803-T803)</f>
        <v>2040.87</v>
      </c>
      <c r="Z803" s="19">
        <f>IFERROR(Y803/X803,"")</f>
        <v>0.2522</v>
      </c>
      <c r="AA803" s="16">
        <f>IF(OR(C803="",D803=""),"",D803-C803)</f>
        <v>7</v>
      </c>
      <c r="AB803" s="16">
        <f>IF(C803="","",MONTH(C803))</f>
        <v>10</v>
      </c>
      <c r="AC803" s="16">
        <f>IF(C803="","",YEAR(C803))</f>
        <v>2025</v>
      </c>
      <c r="AD803" s="16" t="s">
        <v>86</v>
      </c>
      <c r="AE803" s="16" t="s">
        <v>66</v>
      </c>
      <c r="AF803" s="16" t="s">
        <v>255</v>
      </c>
    </row>
    <row r="804" spans="1:32" s="15" customFormat="1" x14ac:dyDescent="0.25">
      <c r="A804" s="16">
        <v>804</v>
      </c>
      <c r="B804" s="16" t="s">
        <v>2555</v>
      </c>
      <c r="C804" s="17">
        <v>45703.77083333333</v>
      </c>
      <c r="D804" s="17">
        <v>45703.77083333333</v>
      </c>
      <c r="E804" s="16" t="s">
        <v>2556</v>
      </c>
      <c r="F804" s="16" t="s">
        <v>163</v>
      </c>
      <c r="G804" s="16" t="s">
        <v>51</v>
      </c>
      <c r="H804" s="16" t="s">
        <v>52</v>
      </c>
      <c r="I804" s="16" t="s">
        <v>191</v>
      </c>
      <c r="J804" s="16" t="s">
        <v>192</v>
      </c>
      <c r="K804" s="16" t="s">
        <v>55</v>
      </c>
      <c r="L804" s="16" t="s">
        <v>74</v>
      </c>
      <c r="M804" s="16" t="s">
        <v>2557</v>
      </c>
      <c r="N804" s="16" t="s">
        <v>42</v>
      </c>
      <c r="O804" s="16">
        <v>6</v>
      </c>
      <c r="P804" s="18">
        <v>1441.91</v>
      </c>
      <c r="Q804" s="19">
        <v>0</v>
      </c>
      <c r="R804" s="19">
        <v>0</v>
      </c>
      <c r="S804" s="18">
        <v>8651.46</v>
      </c>
      <c r="T804" s="18">
        <v>5254.62</v>
      </c>
      <c r="U804" s="18">
        <v>3396.84</v>
      </c>
      <c r="V804" s="16" t="s">
        <v>178</v>
      </c>
      <c r="W804" s="16" t="s">
        <v>122</v>
      </c>
      <c r="X804" s="18">
        <f>IF(OR(O804="",P804="",R804=""),"",O804*P804*(1-R804))</f>
        <v>8651.46</v>
      </c>
      <c r="Y804" s="18">
        <f>IF(OR(X804="",T804=""),"",X804-T804)</f>
        <v>3396.84</v>
      </c>
      <c r="Z804" s="19">
        <f>IFERROR(Y804/X804,"")</f>
        <v>0.3926</v>
      </c>
      <c r="AA804" s="16">
        <f>IF(OR(C804="",D804=""),"",D804-C804)</f>
        <v>0</v>
      </c>
      <c r="AB804" s="16">
        <f>IF(C804="","",MONTH(C804))</f>
        <v>2</v>
      </c>
      <c r="AC804" s="16">
        <f>IF(C804="","",YEAR(C804))</f>
        <v>2025</v>
      </c>
      <c r="AD804" s="16" t="s">
        <v>86</v>
      </c>
      <c r="AE804" s="16" t="s">
        <v>66</v>
      </c>
      <c r="AF804" s="16" t="s">
        <v>179</v>
      </c>
    </row>
    <row r="805" spans="1:32" s="15" customFormat="1" x14ac:dyDescent="0.25">
      <c r="A805" s="16">
        <v>805</v>
      </c>
      <c r="B805" s="16" t="s">
        <v>2558</v>
      </c>
      <c r="C805" s="17">
        <v>45634.77083333333</v>
      </c>
      <c r="D805" s="17">
        <v>45638.77083333333</v>
      </c>
      <c r="E805" s="16" t="s">
        <v>2559</v>
      </c>
      <c r="F805" s="16" t="s">
        <v>163</v>
      </c>
      <c r="G805" s="16" t="s">
        <v>35</v>
      </c>
      <c r="H805" s="16" t="s">
        <v>232</v>
      </c>
      <c r="I805" s="16" t="s">
        <v>258</v>
      </c>
      <c r="J805" s="16" t="s">
        <v>259</v>
      </c>
      <c r="K805" s="16" t="s">
        <v>39</v>
      </c>
      <c r="L805" s="16" t="s">
        <v>110</v>
      </c>
      <c r="M805" s="16" t="s">
        <v>2560</v>
      </c>
      <c r="N805" s="16" t="s">
        <v>64</v>
      </c>
      <c r="O805" s="16">
        <v>1</v>
      </c>
      <c r="P805" s="18">
        <v>4306.65</v>
      </c>
      <c r="Q805" s="19">
        <v>0</v>
      </c>
      <c r="R805" s="19">
        <v>0</v>
      </c>
      <c r="S805" s="18">
        <v>4306.65</v>
      </c>
      <c r="T805" s="18">
        <v>2568.82</v>
      </c>
      <c r="U805" s="18">
        <v>1737.83</v>
      </c>
      <c r="V805" s="16" t="s">
        <v>43</v>
      </c>
      <c r="W805" s="16" t="s">
        <v>44</v>
      </c>
      <c r="X805" s="18">
        <f>IF(OR(O805="",P805="",R805=""),"",O805*P805*(1-R805))</f>
        <v>4306.65</v>
      </c>
      <c r="Y805" s="18">
        <f>IF(OR(X805="",T805=""),"",X805-T805)</f>
        <v>1737.83</v>
      </c>
      <c r="Z805" s="19">
        <f>IFERROR(Y805/X805,"")</f>
        <v>0.4035</v>
      </c>
      <c r="AA805" s="16">
        <f>IF(OR(C805="",D805=""),"",D805-C805)</f>
        <v>4</v>
      </c>
      <c r="AB805" s="16">
        <f>IF(C805="","",MONTH(C805))</f>
        <v>12</v>
      </c>
      <c r="AC805" s="16">
        <f>IF(C805="","",YEAR(C805))</f>
        <v>2024</v>
      </c>
      <c r="AD805" s="16" t="s">
        <v>86</v>
      </c>
      <c r="AE805" s="16" t="s">
        <v>46</v>
      </c>
      <c r="AF805" s="16" t="s">
        <v>487</v>
      </c>
    </row>
    <row r="806" spans="1:32" x14ac:dyDescent="0.25">
      <c r="A806" s="1">
        <v>806</v>
      </c>
      <c r="B806" s="1" t="s">
        <v>2561</v>
      </c>
      <c r="C806" s="2">
        <v>45909.77083333333</v>
      </c>
      <c r="D806" s="2">
        <v>45917.77083333333</v>
      </c>
      <c r="E806" s="1" t="s">
        <v>2562</v>
      </c>
      <c r="F806" s="1" t="s">
        <v>139</v>
      </c>
      <c r="G806" s="1" t="s">
        <v>114</v>
      </c>
      <c r="H806" s="1" t="s">
        <v>71</v>
      </c>
      <c r="I806" s="1" t="s">
        <v>72</v>
      </c>
      <c r="J806" s="1" t="s">
        <v>73</v>
      </c>
      <c r="K806" s="1" t="s">
        <v>55</v>
      </c>
      <c r="L806" s="1" t="s">
        <v>74</v>
      </c>
      <c r="M806" s="1" t="s">
        <v>2563</v>
      </c>
      <c r="N806" s="1" t="s">
        <v>76</v>
      </c>
      <c r="O806" s="1">
        <v>1</v>
      </c>
      <c r="P806" s="3">
        <v>2050.62</v>
      </c>
      <c r="Q806" s="4">
        <v>0.05</v>
      </c>
      <c r="R806" s="4">
        <v>0.05</v>
      </c>
      <c r="S806" s="3">
        <v>1948.09</v>
      </c>
      <c r="T806" s="3">
        <v>1507.08</v>
      </c>
      <c r="U806" s="3">
        <v>441.01</v>
      </c>
      <c r="V806" s="1" t="s">
        <v>43</v>
      </c>
      <c r="W806" s="1" t="s">
        <v>44</v>
      </c>
      <c r="X806" s="3">
        <f>IF(OR(O806="",P806="",R806=""),"",O806*P806*(1-R806))</f>
        <v>1948.09</v>
      </c>
      <c r="Y806" s="3">
        <f>IF(OR(X806="",T806=""),"",X806-T806)</f>
        <v>441.01</v>
      </c>
      <c r="Z806" s="4">
        <f>IFERROR(Y806/X806,"")</f>
        <v>0.2264</v>
      </c>
      <c r="AA806" s="1">
        <f>IF(OR(C806="",D806=""),"",D806-C806)</f>
        <v>8</v>
      </c>
      <c r="AB806" s="1">
        <f>IF(C806="","",MONTH(C806))</f>
        <v>9</v>
      </c>
      <c r="AC806" s="1">
        <f>IF(C806="","",YEAR(C806))</f>
        <v>2025</v>
      </c>
      <c r="AD806" s="1" t="s">
        <v>45</v>
      </c>
      <c r="AE806" s="1" t="s">
        <v>46</v>
      </c>
      <c r="AF806" s="1" t="s">
        <v>47</v>
      </c>
    </row>
    <row r="807" spans="1:32" x14ac:dyDescent="0.25">
      <c r="A807" s="1">
        <v>807</v>
      </c>
      <c r="B807" s="1" t="s">
        <v>2564</v>
      </c>
      <c r="C807" s="2">
        <v>45752.77083333333</v>
      </c>
      <c r="D807" s="2">
        <v>45753.77083333333</v>
      </c>
      <c r="E807" s="1" t="s">
        <v>2426</v>
      </c>
      <c r="F807" s="1" t="s">
        <v>135</v>
      </c>
      <c r="G807" s="1" t="s">
        <v>114</v>
      </c>
      <c r="H807" s="1" t="s">
        <v>52</v>
      </c>
      <c r="I807" s="1" t="s">
        <v>191</v>
      </c>
      <c r="J807" s="1" t="s">
        <v>192</v>
      </c>
      <c r="K807" s="1" t="s">
        <v>39</v>
      </c>
      <c r="L807" s="1" t="s">
        <v>176</v>
      </c>
      <c r="M807" s="1" t="s">
        <v>2565</v>
      </c>
      <c r="N807" s="1" t="s">
        <v>42</v>
      </c>
      <c r="O807" s="1">
        <v>2</v>
      </c>
      <c r="P807" s="3">
        <v>2030.06</v>
      </c>
      <c r="Q807" s="4">
        <v>0.25</v>
      </c>
      <c r="R807" s="4">
        <v>0.25</v>
      </c>
      <c r="S807" s="3">
        <v>3045.09</v>
      </c>
      <c r="T807" s="3">
        <v>2601.09</v>
      </c>
      <c r="U807" s="3">
        <v>444</v>
      </c>
      <c r="V807" s="1" t="s">
        <v>43</v>
      </c>
      <c r="W807" s="1" t="s">
        <v>44</v>
      </c>
      <c r="X807" s="3">
        <f>IF(OR(O807="",P807="",R807=""),"",O807*P807*(1-R807))</f>
        <v>3045.09</v>
      </c>
      <c r="Y807" s="3">
        <f>IF(OR(X807="",T807=""),"",X807-T807)</f>
        <v>444</v>
      </c>
      <c r="Z807" s="4">
        <f>IFERROR(Y807/X807,"")</f>
        <v>0.1458</v>
      </c>
      <c r="AA807" s="1">
        <f>IF(OR(C807="",D807=""),"",D807-C807)</f>
        <v>1</v>
      </c>
      <c r="AB807" s="1">
        <f>IF(C807="","",MONTH(C807))</f>
        <v>4</v>
      </c>
      <c r="AC807" s="1">
        <f>IF(C807="","",YEAR(C807))</f>
        <v>2025</v>
      </c>
      <c r="AD807" s="1" t="s">
        <v>45</v>
      </c>
      <c r="AE807" s="1" t="s">
        <v>46</v>
      </c>
      <c r="AF807" s="1" t="s">
        <v>47</v>
      </c>
    </row>
    <row r="808" spans="1:32" s="15" customFormat="1" x14ac:dyDescent="0.25">
      <c r="A808" s="16">
        <v>808</v>
      </c>
      <c r="B808" s="16" t="s">
        <v>2566</v>
      </c>
      <c r="C808" s="17">
        <v>45604.77083333333</v>
      </c>
      <c r="D808" s="17">
        <v>45610.77083333333</v>
      </c>
      <c r="E808" s="16" t="s">
        <v>2567</v>
      </c>
      <c r="F808" s="16" t="s">
        <v>61</v>
      </c>
      <c r="G808" s="16" t="s">
        <v>114</v>
      </c>
      <c r="H808" s="16" t="s">
        <v>36</v>
      </c>
      <c r="I808" s="16" t="s">
        <v>37</v>
      </c>
      <c r="J808" s="16" t="s">
        <v>38</v>
      </c>
      <c r="K808" s="16" t="s">
        <v>93</v>
      </c>
      <c r="L808" s="16" t="s">
        <v>99</v>
      </c>
      <c r="M808" s="16" t="s">
        <v>2568</v>
      </c>
      <c r="N808" s="16" t="s">
        <v>76</v>
      </c>
      <c r="O808" s="16">
        <v>1</v>
      </c>
      <c r="P808" s="18">
        <v>3665.97</v>
      </c>
      <c r="Q808" s="19">
        <v>0.2</v>
      </c>
      <c r="R808" s="19">
        <v>0.2</v>
      </c>
      <c r="S808" s="18">
        <v>2932.78</v>
      </c>
      <c r="T808" s="18">
        <v>1900.35</v>
      </c>
      <c r="U808" s="18">
        <v>1032.43</v>
      </c>
      <c r="V808" s="16" t="s">
        <v>178</v>
      </c>
      <c r="W808" s="16" t="s">
        <v>85</v>
      </c>
      <c r="X808" s="18">
        <f>IF(OR(O808="",P808="",R808=""),"",O808*P808*(1-R808))</f>
        <v>2932.78</v>
      </c>
      <c r="Y808" s="18">
        <f>IF(OR(X808="",T808=""),"",X808-T808)</f>
        <v>1032.43</v>
      </c>
      <c r="Z808" s="19">
        <f>IFERROR(Y808/X808,"")</f>
        <v>0.352</v>
      </c>
      <c r="AA808" s="16">
        <f>IF(OR(C808="",D808=""),"",D808-C808)</f>
        <v>6</v>
      </c>
      <c r="AB808" s="16">
        <f>IF(C808="","",MONTH(C808))</f>
        <v>11</v>
      </c>
      <c r="AC808" s="16">
        <f>IF(C808="","",YEAR(C808))</f>
        <v>2024</v>
      </c>
      <c r="AD808" s="16" t="s">
        <v>86</v>
      </c>
      <c r="AE808" s="16" t="s">
        <v>66</v>
      </c>
      <c r="AF808" s="16" t="s">
        <v>296</v>
      </c>
    </row>
    <row r="809" spans="1:32" x14ac:dyDescent="0.25">
      <c r="A809" s="1">
        <v>809</v>
      </c>
      <c r="B809" s="1" t="s">
        <v>2569</v>
      </c>
      <c r="C809" s="2">
        <v>45694.77083333333</v>
      </c>
      <c r="D809" s="2">
        <v>45695.77083333333</v>
      </c>
      <c r="E809" s="1" t="s">
        <v>2570</v>
      </c>
      <c r="F809" s="1" t="s">
        <v>34</v>
      </c>
      <c r="G809" s="1" t="s">
        <v>51</v>
      </c>
      <c r="H809" s="1" t="s">
        <v>71</v>
      </c>
      <c r="I809" s="1" t="s">
        <v>72</v>
      </c>
      <c r="J809" s="1" t="s">
        <v>73</v>
      </c>
      <c r="K809" s="1" t="s">
        <v>39</v>
      </c>
      <c r="L809" s="1" t="s">
        <v>110</v>
      </c>
      <c r="M809" s="1" t="s">
        <v>2571</v>
      </c>
      <c r="N809" s="1" t="s">
        <v>76</v>
      </c>
      <c r="O809" s="1">
        <v>2</v>
      </c>
      <c r="P809" s="3">
        <v>2432.98</v>
      </c>
      <c r="Q809" s="4">
        <v>0.1</v>
      </c>
      <c r="R809" s="4">
        <v>0.1</v>
      </c>
      <c r="S809" s="3">
        <v>4379.36</v>
      </c>
      <c r="T809" s="3">
        <v>3723.93</v>
      </c>
      <c r="U809" s="3">
        <v>655.43</v>
      </c>
      <c r="V809" s="1" t="s">
        <v>43</v>
      </c>
      <c r="W809" s="1" t="s">
        <v>44</v>
      </c>
      <c r="X809" s="3">
        <f>IF(OR(O809="",P809="",R809=""),"",O809*P809*(1-R809))</f>
        <v>4379.36</v>
      </c>
      <c r="Y809" s="3">
        <f>IF(OR(X809="",T809=""),"",X809-T809)</f>
        <v>655.43</v>
      </c>
      <c r="Z809" s="4">
        <f>IFERROR(Y809/X809,"")</f>
        <v>0.1497</v>
      </c>
      <c r="AA809" s="1">
        <f>IF(OR(C809="",D809=""),"",D809-C809)</f>
        <v>1</v>
      </c>
      <c r="AB809" s="1">
        <f>IF(C809="","",MONTH(C809))</f>
        <v>2</v>
      </c>
      <c r="AC809" s="1">
        <f>IF(C809="","",YEAR(C809))</f>
        <v>2025</v>
      </c>
      <c r="AD809" s="1" t="s">
        <v>45</v>
      </c>
      <c r="AE809" s="1" t="s">
        <v>46</v>
      </c>
      <c r="AF809" s="1" t="s">
        <v>47</v>
      </c>
    </row>
    <row r="810" spans="1:32" s="10" customFormat="1" x14ac:dyDescent="0.25">
      <c r="A810" s="11">
        <v>810</v>
      </c>
      <c r="B810" s="11" t="s">
        <v>2572</v>
      </c>
      <c r="C810" s="12">
        <v>45899.77083333333</v>
      </c>
      <c r="D810" s="12">
        <v>45896.77083333333</v>
      </c>
      <c r="E810" s="11" t="s">
        <v>2573</v>
      </c>
      <c r="F810" s="11" t="s">
        <v>149</v>
      </c>
      <c r="G810" s="11" t="s">
        <v>51</v>
      </c>
      <c r="H810" s="11" t="s">
        <v>71</v>
      </c>
      <c r="I810" s="11" t="s">
        <v>277</v>
      </c>
      <c r="J810" s="11" t="s">
        <v>278</v>
      </c>
      <c r="K810" s="11" t="s">
        <v>55</v>
      </c>
      <c r="L810" s="11" t="s">
        <v>74</v>
      </c>
      <c r="M810" s="11" t="s">
        <v>2574</v>
      </c>
      <c r="N810" s="11" t="s">
        <v>64</v>
      </c>
      <c r="O810" s="11">
        <v>7</v>
      </c>
      <c r="P810" s="13">
        <v>977.28</v>
      </c>
      <c r="Q810" s="14">
        <v>0.2</v>
      </c>
      <c r="R810" s="14">
        <v>0.2</v>
      </c>
      <c r="S810" s="13">
        <v>5472.77</v>
      </c>
      <c r="T810" s="13">
        <v>4477.33</v>
      </c>
      <c r="U810" s="13">
        <v>995.44</v>
      </c>
      <c r="V810" s="11" t="s">
        <v>43</v>
      </c>
      <c r="W810" s="11" t="s">
        <v>44</v>
      </c>
      <c r="X810" s="13">
        <f>IF(OR(O810="",P810="",R810=""),"",O810*P810*(1-R810))</f>
        <v>5472.77</v>
      </c>
      <c r="Y810" s="13">
        <f>IF(OR(X810="",T810=""),"",X810-T810)</f>
        <v>995.44</v>
      </c>
      <c r="Z810" s="14">
        <f>IFERROR(Y810/X810,"")</f>
        <v>0.1819</v>
      </c>
      <c r="AA810" s="11">
        <f>IF(OR(C810="",D810=""),"",D810-C810)</f>
        <v>-3</v>
      </c>
      <c r="AB810" s="11">
        <f>IF(C810="","",MONTH(C810))</f>
        <v>8</v>
      </c>
      <c r="AC810" s="11">
        <f>IF(C810="","",YEAR(C810))</f>
        <v>2025</v>
      </c>
      <c r="AD810" s="11" t="s">
        <v>65</v>
      </c>
      <c r="AE810" s="11" t="s">
        <v>66</v>
      </c>
      <c r="AF810" s="11" t="s">
        <v>360</v>
      </c>
    </row>
    <row r="811" spans="1:32" s="15" customFormat="1" x14ac:dyDescent="0.25">
      <c r="A811" s="16">
        <v>811</v>
      </c>
      <c r="B811" s="16" t="s">
        <v>2575</v>
      </c>
      <c r="C811" s="17">
        <v>45832.77083333333</v>
      </c>
      <c r="D811" s="17">
        <v>45832.77083333333</v>
      </c>
      <c r="E811" s="16" t="s">
        <v>2576</v>
      </c>
      <c r="F811" s="16" t="s">
        <v>70</v>
      </c>
      <c r="G811" s="16" t="s">
        <v>51</v>
      </c>
      <c r="H811" s="16" t="s">
        <v>232</v>
      </c>
      <c r="I811" s="16" t="s">
        <v>143</v>
      </c>
      <c r="J811" s="16" t="s">
        <v>144</v>
      </c>
      <c r="K811" s="16" t="s">
        <v>39</v>
      </c>
      <c r="L811" s="16" t="s">
        <v>176</v>
      </c>
      <c r="M811" s="16" t="s">
        <v>2577</v>
      </c>
      <c r="N811" s="16" t="s">
        <v>42</v>
      </c>
      <c r="O811" s="16">
        <v>6</v>
      </c>
      <c r="P811" s="18">
        <v>1366.13</v>
      </c>
      <c r="Q811" s="19">
        <v>0.1</v>
      </c>
      <c r="R811" s="19">
        <v>0.1</v>
      </c>
      <c r="S811" s="18">
        <v>7377.1</v>
      </c>
      <c r="T811" s="18">
        <v>5085.21</v>
      </c>
      <c r="U811" s="18">
        <v>2291.89</v>
      </c>
      <c r="V811" s="16" t="s">
        <v>43</v>
      </c>
      <c r="W811" s="16" t="s">
        <v>44</v>
      </c>
      <c r="X811" s="18">
        <f>IF(OR(O811="",P811="",R811=""),"",O811*P811*(1-R811))</f>
        <v>7377.1</v>
      </c>
      <c r="Y811" s="18">
        <f>IF(OR(X811="",T811=""),"",X811-T811)</f>
        <v>2291.89</v>
      </c>
      <c r="Z811" s="19">
        <f>IFERROR(Y811/X811,"")</f>
        <v>0.3107</v>
      </c>
      <c r="AA811" s="16">
        <f>IF(OR(C811="",D811=""),"",D811-C811)</f>
        <v>0</v>
      </c>
      <c r="AB811" s="16">
        <f>IF(C811="","",MONTH(C811))</f>
        <v>6</v>
      </c>
      <c r="AC811" s="16">
        <f>IF(C811="","",YEAR(C811))</f>
        <v>2025</v>
      </c>
      <c r="AD811" s="16" t="s">
        <v>86</v>
      </c>
      <c r="AE811" s="16" t="s">
        <v>46</v>
      </c>
      <c r="AF811" s="16" t="s">
        <v>487</v>
      </c>
    </row>
    <row r="812" spans="1:32" x14ac:dyDescent="0.25">
      <c r="A812" s="1">
        <v>812</v>
      </c>
      <c r="B812" s="1" t="s">
        <v>2578</v>
      </c>
      <c r="C812" s="2">
        <v>45384.77083333333</v>
      </c>
      <c r="D812" s="2">
        <v>45389.77083333333</v>
      </c>
      <c r="E812" s="1" t="s">
        <v>1730</v>
      </c>
      <c r="F812" s="1" t="s">
        <v>294</v>
      </c>
      <c r="G812" s="1" t="s">
        <v>114</v>
      </c>
      <c r="H812" s="1" t="s">
        <v>80</v>
      </c>
      <c r="I812" s="1" t="s">
        <v>206</v>
      </c>
      <c r="J812" s="1" t="s">
        <v>207</v>
      </c>
      <c r="K812" s="1" t="s">
        <v>93</v>
      </c>
      <c r="L812" s="1" t="s">
        <v>99</v>
      </c>
      <c r="M812" s="1" t="s">
        <v>2579</v>
      </c>
      <c r="N812" s="1" t="s">
        <v>64</v>
      </c>
      <c r="O812" s="1">
        <v>1</v>
      </c>
      <c r="P812" s="3">
        <v>3151.85</v>
      </c>
      <c r="Q812" s="4">
        <v>0.25</v>
      </c>
      <c r="R812" s="4">
        <v>0.25</v>
      </c>
      <c r="S812" s="3">
        <v>2363.89</v>
      </c>
      <c r="T812" s="3">
        <v>1471.51</v>
      </c>
      <c r="U812" s="3">
        <v>892.38</v>
      </c>
      <c r="V812" s="1" t="s">
        <v>43</v>
      </c>
      <c r="W812" s="1" t="s">
        <v>44</v>
      </c>
      <c r="X812" s="3">
        <f>IF(OR(O812="",P812="",R812=""),"",O812*P812*(1-R812))</f>
        <v>2363.89</v>
      </c>
      <c r="Y812" s="3">
        <f>IF(OR(X812="",T812=""),"",X812-T812)</f>
        <v>892.38</v>
      </c>
      <c r="Z812" s="4">
        <f>IFERROR(Y812/X812,"")</f>
        <v>0.3775</v>
      </c>
      <c r="AA812" s="1">
        <f>IF(OR(C812="",D812=""),"",D812-C812)</f>
        <v>5</v>
      </c>
      <c r="AB812" s="1">
        <f>IF(C812="","",MONTH(C812))</f>
        <v>4</v>
      </c>
      <c r="AC812" s="1">
        <f>IF(C812="","",YEAR(C812))</f>
        <v>2024</v>
      </c>
      <c r="AD812" s="1" t="s">
        <v>45</v>
      </c>
      <c r="AE812" s="1" t="s">
        <v>46</v>
      </c>
      <c r="AF812" s="1" t="s">
        <v>47</v>
      </c>
    </row>
    <row r="813" spans="1:32" x14ac:dyDescent="0.25">
      <c r="A813" s="1">
        <v>813</v>
      </c>
      <c r="B813" s="1" t="s">
        <v>2580</v>
      </c>
      <c r="C813" s="2">
        <v>45637.77083333333</v>
      </c>
      <c r="D813" s="2">
        <v>45644.77083333333</v>
      </c>
      <c r="E813" s="1" t="s">
        <v>2581</v>
      </c>
      <c r="F813" s="1" t="s">
        <v>163</v>
      </c>
      <c r="G813" s="1" t="s">
        <v>114</v>
      </c>
      <c r="H813" s="1" t="s">
        <v>36</v>
      </c>
      <c r="I813" s="1" t="s">
        <v>266</v>
      </c>
      <c r="J813" s="1" t="s">
        <v>267</v>
      </c>
      <c r="K813" s="1" t="s">
        <v>93</v>
      </c>
      <c r="L813" s="1" t="s">
        <v>94</v>
      </c>
      <c r="M813" s="1" t="s">
        <v>2582</v>
      </c>
      <c r="N813" s="1" t="s">
        <v>64</v>
      </c>
      <c r="O813" s="1">
        <v>2</v>
      </c>
      <c r="P813" s="3">
        <v>1610.75</v>
      </c>
      <c r="Q813" s="4">
        <v>0.2</v>
      </c>
      <c r="R813" s="4">
        <v>0.2</v>
      </c>
      <c r="S813" s="3">
        <v>2577.2</v>
      </c>
      <c r="T813" s="3">
        <v>1475.87</v>
      </c>
      <c r="U813" s="3">
        <v>1101.33</v>
      </c>
      <c r="V813" s="1" t="s">
        <v>43</v>
      </c>
      <c r="W813" s="1" t="s">
        <v>44</v>
      </c>
      <c r="X813" s="3">
        <f>IF(OR(O813="",P813="",R813=""),"",O813*P813*(1-R813))</f>
        <v>2577.2</v>
      </c>
      <c r="Y813" s="3">
        <f>IF(OR(X813="",T813=""),"",X813-T813)</f>
        <v>1101.33</v>
      </c>
      <c r="Z813" s="4">
        <f>IFERROR(Y813/X813,"")</f>
        <v>0.4273</v>
      </c>
      <c r="AA813" s="1">
        <f>IF(OR(C813="",D813=""),"",D813-C813)</f>
        <v>7</v>
      </c>
      <c r="AB813" s="1">
        <f>IF(C813="","",MONTH(C813))</f>
        <v>12</v>
      </c>
      <c r="AC813" s="1">
        <f>IF(C813="","",YEAR(C813))</f>
        <v>2024</v>
      </c>
      <c r="AD813" s="1" t="s">
        <v>45</v>
      </c>
      <c r="AE813" s="1" t="s">
        <v>46</v>
      </c>
      <c r="AF813" s="1" t="s">
        <v>47</v>
      </c>
    </row>
    <row r="814" spans="1:32" x14ac:dyDescent="0.25">
      <c r="A814" s="1">
        <v>814</v>
      </c>
      <c r="B814" s="1" t="s">
        <v>2583</v>
      </c>
      <c r="C814" s="2">
        <v>45457.77083333333</v>
      </c>
      <c r="D814" s="2">
        <v>45462.77083333333</v>
      </c>
      <c r="E814" s="1" t="s">
        <v>2584</v>
      </c>
      <c r="F814" s="1" t="s">
        <v>153</v>
      </c>
      <c r="G814" s="1" t="s">
        <v>51</v>
      </c>
      <c r="H814" s="1" t="s">
        <v>52</v>
      </c>
      <c r="I814" s="1" t="s">
        <v>258</v>
      </c>
      <c r="J814" s="1" t="s">
        <v>259</v>
      </c>
      <c r="K814" s="1" t="s">
        <v>55</v>
      </c>
      <c r="L814" s="1" t="s">
        <v>56</v>
      </c>
      <c r="M814" s="1" t="s">
        <v>2585</v>
      </c>
      <c r="N814" s="1" t="s">
        <v>64</v>
      </c>
      <c r="O814" s="1">
        <v>8</v>
      </c>
      <c r="P814" s="3">
        <v>2228.47</v>
      </c>
      <c r="Q814" s="4">
        <v>0</v>
      </c>
      <c r="R814" s="4">
        <v>0</v>
      </c>
      <c r="S814" s="3">
        <v>17827.76</v>
      </c>
      <c r="T814" s="3">
        <v>14122.13</v>
      </c>
      <c r="U814" s="3">
        <v>3705.63</v>
      </c>
      <c r="V814" s="1" t="s">
        <v>43</v>
      </c>
      <c r="W814" s="1" t="s">
        <v>44</v>
      </c>
      <c r="X814" s="3">
        <f>IF(OR(O814="",P814="",R814=""),"",O814*P814*(1-R814))</f>
        <v>17827.76</v>
      </c>
      <c r="Y814" s="3">
        <f>IF(OR(X814="",T814=""),"",X814-T814)</f>
        <v>3705.63</v>
      </c>
      <c r="Z814" s="4">
        <f>IFERROR(Y814/X814,"")</f>
        <v>0.2079</v>
      </c>
      <c r="AA814" s="1">
        <f>IF(OR(C814="",D814=""),"",D814-C814)</f>
        <v>5</v>
      </c>
      <c r="AB814" s="1">
        <f>IF(C814="","",MONTH(C814))</f>
        <v>6</v>
      </c>
      <c r="AC814" s="1">
        <f>IF(C814="","",YEAR(C814))</f>
        <v>2024</v>
      </c>
      <c r="AD814" s="1" t="s">
        <v>45</v>
      </c>
      <c r="AE814" s="1" t="s">
        <v>46</v>
      </c>
      <c r="AF814" s="1" t="s">
        <v>47</v>
      </c>
    </row>
    <row r="815" spans="1:32" x14ac:dyDescent="0.25">
      <c r="A815" s="1">
        <v>815</v>
      </c>
      <c r="B815" s="1" t="s">
        <v>2586</v>
      </c>
      <c r="C815" s="2">
        <v>45752.77083333333</v>
      </c>
      <c r="D815" s="2">
        <v>45756.77083333333</v>
      </c>
      <c r="E815" s="1" t="s">
        <v>2587</v>
      </c>
      <c r="F815" s="1" t="s">
        <v>163</v>
      </c>
      <c r="G815" s="1" t="s">
        <v>35</v>
      </c>
      <c r="H815" s="1" t="s">
        <v>52</v>
      </c>
      <c r="I815" s="1" t="s">
        <v>53</v>
      </c>
      <c r="J815" s="1" t="s">
        <v>54</v>
      </c>
      <c r="K815" s="1" t="s">
        <v>55</v>
      </c>
      <c r="L815" s="1" t="s">
        <v>182</v>
      </c>
      <c r="M815" s="1" t="s">
        <v>1178</v>
      </c>
      <c r="N815" s="1" t="s">
        <v>76</v>
      </c>
      <c r="O815" s="1">
        <v>2</v>
      </c>
      <c r="P815" s="3">
        <v>1337.67</v>
      </c>
      <c r="Q815" s="4">
        <v>0</v>
      </c>
      <c r="R815" s="4">
        <v>0</v>
      </c>
      <c r="S815" s="3">
        <v>2675.34</v>
      </c>
      <c r="T815" s="3">
        <v>1595.87</v>
      </c>
      <c r="U815" s="3">
        <v>1079.47</v>
      </c>
      <c r="V815" s="1" t="s">
        <v>43</v>
      </c>
      <c r="W815" s="1" t="s">
        <v>44</v>
      </c>
      <c r="X815" s="3">
        <f>IF(OR(O815="",P815="",R815=""),"",O815*P815*(1-R815))</f>
        <v>2675.34</v>
      </c>
      <c r="Y815" s="3">
        <f>IF(OR(X815="",T815=""),"",X815-T815)</f>
        <v>1079.47</v>
      </c>
      <c r="Z815" s="4">
        <f>IFERROR(Y815/X815,"")</f>
        <v>0.4035</v>
      </c>
      <c r="AA815" s="1">
        <f>IF(OR(C815="",D815=""),"",D815-C815)</f>
        <v>4</v>
      </c>
      <c r="AB815" s="1">
        <f>IF(C815="","",MONTH(C815))</f>
        <v>4</v>
      </c>
      <c r="AC815" s="1">
        <f>IF(C815="","",YEAR(C815))</f>
        <v>2025</v>
      </c>
      <c r="AD815" s="1" t="s">
        <v>45</v>
      </c>
      <c r="AE815" s="1" t="s">
        <v>46</v>
      </c>
      <c r="AF815" s="1" t="s">
        <v>47</v>
      </c>
    </row>
    <row r="816" spans="1:32" x14ac:dyDescent="0.25">
      <c r="A816" s="1">
        <v>816</v>
      </c>
      <c r="B816" s="1" t="s">
        <v>2588</v>
      </c>
      <c r="C816" s="2">
        <v>45874.77083333333</v>
      </c>
      <c r="D816" s="2">
        <v>45879.77083333333</v>
      </c>
      <c r="E816" s="1" t="s">
        <v>2589</v>
      </c>
      <c r="F816" s="1" t="s">
        <v>70</v>
      </c>
      <c r="G816" s="1" t="s">
        <v>35</v>
      </c>
      <c r="H816" s="1" t="s">
        <v>80</v>
      </c>
      <c r="I816" s="1" t="s">
        <v>91</v>
      </c>
      <c r="J816" s="1" t="s">
        <v>92</v>
      </c>
      <c r="K816" s="1" t="s">
        <v>39</v>
      </c>
      <c r="L816" s="1" t="s">
        <v>110</v>
      </c>
      <c r="M816" s="1" t="s">
        <v>2590</v>
      </c>
      <c r="N816" s="1" t="s">
        <v>64</v>
      </c>
      <c r="O816" s="1">
        <v>2</v>
      </c>
      <c r="P816" s="3">
        <v>2375.94</v>
      </c>
      <c r="Q816" s="4">
        <v>0.25</v>
      </c>
      <c r="R816" s="4">
        <v>0.25</v>
      </c>
      <c r="S816" s="3">
        <v>3563.91</v>
      </c>
      <c r="T816" s="3">
        <v>2639.7</v>
      </c>
      <c r="U816" s="3">
        <v>924.21</v>
      </c>
      <c r="V816" s="1" t="s">
        <v>43</v>
      </c>
      <c r="W816" s="1" t="s">
        <v>44</v>
      </c>
      <c r="X816" s="3">
        <f>IF(OR(O816="",P816="",R816=""),"",O816*P816*(1-R816))</f>
        <v>3563.91</v>
      </c>
      <c r="Y816" s="3">
        <f>IF(OR(X816="",T816=""),"",X816-T816)</f>
        <v>924.21</v>
      </c>
      <c r="Z816" s="4">
        <f>IFERROR(Y816/X816,"")</f>
        <v>0.2593</v>
      </c>
      <c r="AA816" s="1">
        <f>IF(OR(C816="",D816=""),"",D816-C816)</f>
        <v>5</v>
      </c>
      <c r="AB816" s="1">
        <f>IF(C816="","",MONTH(C816))</f>
        <v>8</v>
      </c>
      <c r="AC816" s="1">
        <f>IF(C816="","",YEAR(C816))</f>
        <v>2025</v>
      </c>
      <c r="AD816" s="1" t="s">
        <v>45</v>
      </c>
      <c r="AE816" s="1" t="s">
        <v>46</v>
      </c>
      <c r="AF816" s="1" t="s">
        <v>47</v>
      </c>
    </row>
    <row r="817" spans="1:32" s="15" customFormat="1" x14ac:dyDescent="0.25">
      <c r="A817" s="16">
        <v>817</v>
      </c>
      <c r="B817" s="16" t="s">
        <v>2591</v>
      </c>
      <c r="C817" s="17">
        <v>45382.77083333333</v>
      </c>
      <c r="D817" s="17">
        <v>45389.77083333333</v>
      </c>
      <c r="E817" s="16" t="s">
        <v>2592</v>
      </c>
      <c r="F817" s="16" t="s">
        <v>186</v>
      </c>
      <c r="G817" s="16" t="s">
        <v>35</v>
      </c>
      <c r="H817" s="16" t="s">
        <v>52</v>
      </c>
      <c r="I817" s="16" t="s">
        <v>53</v>
      </c>
      <c r="J817" s="16" t="s">
        <v>54</v>
      </c>
      <c r="K817" s="16" t="s">
        <v>93</v>
      </c>
      <c r="L817" s="16" t="s">
        <v>305</v>
      </c>
      <c r="M817" s="16" t="s">
        <v>2593</v>
      </c>
      <c r="N817" s="16" t="s">
        <v>76</v>
      </c>
      <c r="O817" s="16">
        <v>7</v>
      </c>
      <c r="P817" s="18">
        <v>715.81</v>
      </c>
      <c r="Q817" s="19">
        <v>0.15</v>
      </c>
      <c r="R817" s="19">
        <v>0.15</v>
      </c>
      <c r="S817" s="18">
        <v>4259.07</v>
      </c>
      <c r="T817" s="18">
        <v>3130.32</v>
      </c>
      <c r="U817" s="18">
        <v>1128.75</v>
      </c>
      <c r="V817" s="16" t="s">
        <v>131</v>
      </c>
      <c r="W817" s="16" t="s">
        <v>85</v>
      </c>
      <c r="X817" s="18">
        <f>IF(OR(O817="",P817="",R817=""),"",O817*P817*(1-R817))</f>
        <v>4259.07</v>
      </c>
      <c r="Y817" s="18">
        <f>IF(OR(X817="",T817=""),"",X817-T817)</f>
        <v>1128.75</v>
      </c>
      <c r="Z817" s="19">
        <f>IFERROR(Y817/X817,"")</f>
        <v>0.265</v>
      </c>
      <c r="AA817" s="16">
        <f>IF(OR(C817="",D817=""),"",D817-C817)</f>
        <v>7</v>
      </c>
      <c r="AB817" s="16">
        <f>IF(C817="","",MONTH(C817))</f>
        <v>4</v>
      </c>
      <c r="AC817" s="16">
        <f>IF(C817="","",YEAR(C817))</f>
        <v>2024</v>
      </c>
      <c r="AD817" s="16" t="s">
        <v>86</v>
      </c>
      <c r="AE817" s="16" t="s">
        <v>66</v>
      </c>
      <c r="AF817" s="16" t="s">
        <v>255</v>
      </c>
    </row>
    <row r="818" spans="1:32" x14ac:dyDescent="0.25">
      <c r="A818" s="1">
        <v>818</v>
      </c>
      <c r="B818" s="1" t="s">
        <v>2594</v>
      </c>
      <c r="C818" s="2">
        <v>45622.77083333333</v>
      </c>
      <c r="D818" s="2">
        <v>45625.77083333333</v>
      </c>
      <c r="E818" s="1" t="s">
        <v>2595</v>
      </c>
      <c r="F818" s="1" t="s">
        <v>139</v>
      </c>
      <c r="G818" s="1" t="s">
        <v>51</v>
      </c>
      <c r="H818" s="1" t="s">
        <v>52</v>
      </c>
      <c r="I818" s="1" t="s">
        <v>258</v>
      </c>
      <c r="J818" s="1" t="s">
        <v>259</v>
      </c>
      <c r="K818" s="1" t="s">
        <v>55</v>
      </c>
      <c r="L818" s="1" t="s">
        <v>74</v>
      </c>
      <c r="M818" s="1" t="s">
        <v>2596</v>
      </c>
      <c r="N818" s="1" t="s">
        <v>64</v>
      </c>
      <c r="O818" s="1">
        <v>1</v>
      </c>
      <c r="P818" s="3">
        <v>874.3</v>
      </c>
      <c r="Q818" s="4">
        <v>0.1</v>
      </c>
      <c r="R818" s="4">
        <v>0.1</v>
      </c>
      <c r="S818" s="3">
        <v>786.87</v>
      </c>
      <c r="T818" s="3">
        <v>498.5</v>
      </c>
      <c r="U818" s="3">
        <v>288.37</v>
      </c>
      <c r="V818" s="1" t="s">
        <v>43</v>
      </c>
      <c r="W818" s="1" t="s">
        <v>44</v>
      </c>
      <c r="X818" s="3">
        <f>IF(OR(O818="",P818="",R818=""),"",O818*P818*(1-R818))</f>
        <v>786.87</v>
      </c>
      <c r="Y818" s="3">
        <f>IF(OR(X818="",T818=""),"",X818-T818)</f>
        <v>288.37</v>
      </c>
      <c r="Z818" s="4">
        <f>IFERROR(Y818/X818,"")</f>
        <v>0.3665</v>
      </c>
      <c r="AA818" s="1">
        <f>IF(OR(C818="",D818=""),"",D818-C818)</f>
        <v>3</v>
      </c>
      <c r="AB818" s="1">
        <f>IF(C818="","",MONTH(C818))</f>
        <v>11</v>
      </c>
      <c r="AC818" s="1">
        <f>IF(C818="","",YEAR(C818))</f>
        <v>2024</v>
      </c>
      <c r="AD818" s="1" t="s">
        <v>45</v>
      </c>
      <c r="AE818" s="1" t="s">
        <v>46</v>
      </c>
      <c r="AF818" s="1" t="s">
        <v>47</v>
      </c>
    </row>
    <row r="819" spans="1:32" x14ac:dyDescent="0.25">
      <c r="A819" s="1">
        <v>819</v>
      </c>
      <c r="B819" s="1" t="s">
        <v>2597</v>
      </c>
      <c r="C819" s="2">
        <v>45751.77083333333</v>
      </c>
      <c r="D819" s="2">
        <v>45751.77083333333</v>
      </c>
      <c r="E819" s="1" t="s">
        <v>2598</v>
      </c>
      <c r="F819" s="1" t="s">
        <v>153</v>
      </c>
      <c r="G819" s="1" t="s">
        <v>35</v>
      </c>
      <c r="H819" s="1" t="s">
        <v>52</v>
      </c>
      <c r="I819" s="1" t="s">
        <v>168</v>
      </c>
      <c r="J819" s="1" t="s">
        <v>169</v>
      </c>
      <c r="K819" s="1" t="s">
        <v>39</v>
      </c>
      <c r="L819" s="1" t="s">
        <v>176</v>
      </c>
      <c r="M819" s="1" t="s">
        <v>2599</v>
      </c>
      <c r="N819" s="1" t="s">
        <v>76</v>
      </c>
      <c r="O819" s="1">
        <v>6</v>
      </c>
      <c r="P819" s="3">
        <v>1829.69</v>
      </c>
      <c r="Q819" s="4">
        <v>0.25</v>
      </c>
      <c r="R819" s="4">
        <v>0.25</v>
      </c>
      <c r="S819" s="3">
        <v>8233.6</v>
      </c>
      <c r="T819" s="3">
        <v>4713.79</v>
      </c>
      <c r="U819" s="3">
        <v>3519.81</v>
      </c>
      <c r="V819" s="1" t="s">
        <v>43</v>
      </c>
      <c r="W819" s="1" t="s">
        <v>44</v>
      </c>
      <c r="X819" s="3">
        <f>IF(OR(O819="",P819="",R819=""),"",O819*P819*(1-R819))</f>
        <v>8233.61</v>
      </c>
      <c r="Y819" s="3">
        <f>IF(OR(X819="",T819=""),"",X819-T819)</f>
        <v>3519.82</v>
      </c>
      <c r="Z819" s="4">
        <f>IFERROR(Y819/X819,"")</f>
        <v>0.4275</v>
      </c>
      <c r="AA819" s="1">
        <f>IF(OR(C819="",D819=""),"",D819-C819)</f>
        <v>0</v>
      </c>
      <c r="AB819" s="1">
        <f>IF(C819="","",MONTH(C819))</f>
        <v>4</v>
      </c>
      <c r="AC819" s="1">
        <f>IF(C819="","",YEAR(C819))</f>
        <v>2025</v>
      </c>
      <c r="AD819" s="1" t="s">
        <v>45</v>
      </c>
      <c r="AE819" s="1" t="s">
        <v>46</v>
      </c>
      <c r="AF819" s="1" t="s">
        <v>47</v>
      </c>
    </row>
    <row r="820" spans="1:32" s="10" customFormat="1" x14ac:dyDescent="0.25">
      <c r="A820" s="11">
        <v>820</v>
      </c>
      <c r="B820" s="11" t="s">
        <v>2600</v>
      </c>
      <c r="C820" s="12">
        <v>45563.77083333333</v>
      </c>
      <c r="D820" s="12">
        <v>45569.77083333333</v>
      </c>
      <c r="E820" s="11" t="s">
        <v>2601</v>
      </c>
      <c r="F820" s="11" t="s">
        <v>135</v>
      </c>
      <c r="G820" s="11" t="s">
        <v>51</v>
      </c>
      <c r="H820" s="11" t="s">
        <v>80</v>
      </c>
      <c r="I820" s="11" t="s">
        <v>81</v>
      </c>
      <c r="J820" s="11" t="s">
        <v>82</v>
      </c>
      <c r="K820" s="11" t="s">
        <v>39</v>
      </c>
      <c r="L820" s="11" t="s">
        <v>110</v>
      </c>
      <c r="M820" s="11" t="s">
        <v>2602</v>
      </c>
      <c r="N820" s="11" t="s">
        <v>64</v>
      </c>
      <c r="O820" s="11">
        <v>8</v>
      </c>
      <c r="P820" s="13">
        <v>1981.04</v>
      </c>
      <c r="Q820" s="14">
        <v>-0.14</v>
      </c>
      <c r="R820" s="14">
        <v>-0.14</v>
      </c>
      <c r="S820" s="13">
        <v>12678.66</v>
      </c>
      <c r="T820" s="13">
        <v>10088.65</v>
      </c>
      <c r="U820" s="13">
        <v>2590.01</v>
      </c>
      <c r="V820" s="11" t="s">
        <v>43</v>
      </c>
      <c r="W820" s="11" t="s">
        <v>44</v>
      </c>
      <c r="X820" s="13">
        <f>IF(OR(O820="",P820="",R820=""),"",O820*P820*(1-R820))</f>
        <v>18067.08</v>
      </c>
      <c r="Y820" s="13">
        <f>IF(OR(X820="",T820=""),"",X820-T820)</f>
        <v>7978.43</v>
      </c>
      <c r="Z820" s="14">
        <f>IFERROR(Y820/X820,"")</f>
        <v>0.4416</v>
      </c>
      <c r="AA820" s="11">
        <f>IF(OR(C820="",D820=""),"",D820-C820)</f>
        <v>6</v>
      </c>
      <c r="AB820" s="11">
        <f>IF(C820="","",MONTH(C820))</f>
        <v>9</v>
      </c>
      <c r="AC820" s="11">
        <f>IF(C820="","",YEAR(C820))</f>
        <v>2024</v>
      </c>
      <c r="AD820" s="11" t="s">
        <v>65</v>
      </c>
      <c r="AE820" s="11" t="s">
        <v>66</v>
      </c>
      <c r="AF820" s="11" t="s">
        <v>165</v>
      </c>
    </row>
    <row r="821" spans="1:32" s="15" customFormat="1" x14ac:dyDescent="0.25">
      <c r="A821" s="16">
        <v>821</v>
      </c>
      <c r="B821" s="16" t="s">
        <v>2603</v>
      </c>
      <c r="C821" s="17">
        <v>45503.77083333333</v>
      </c>
      <c r="D821" s="17">
        <v>45503.77083333333</v>
      </c>
      <c r="E821" s="16" t="s">
        <v>2604</v>
      </c>
      <c r="F821" s="16" t="s">
        <v>34</v>
      </c>
      <c r="G821" s="16" t="s">
        <v>114</v>
      </c>
      <c r="H821" s="16" t="s">
        <v>71</v>
      </c>
      <c r="I821" s="16" t="s">
        <v>211</v>
      </c>
      <c r="J821" s="16" t="s">
        <v>212</v>
      </c>
      <c r="K821" s="16" t="s">
        <v>93</v>
      </c>
      <c r="L821" s="16" t="s">
        <v>305</v>
      </c>
      <c r="M821" s="16" t="s">
        <v>2605</v>
      </c>
      <c r="N821" s="16" t="s">
        <v>76</v>
      </c>
      <c r="O821" s="16">
        <v>8</v>
      </c>
      <c r="P821" s="18">
        <v>4246.01</v>
      </c>
      <c r="Q821" s="19">
        <v>0</v>
      </c>
      <c r="R821" s="19">
        <v>0</v>
      </c>
      <c r="S821" s="18">
        <v>33968.08</v>
      </c>
      <c r="T821" s="18">
        <v>26902.44</v>
      </c>
      <c r="U821" s="18">
        <v>7065.64</v>
      </c>
      <c r="V821" s="16" t="s">
        <v>178</v>
      </c>
      <c r="W821" s="16" t="s">
        <v>85</v>
      </c>
      <c r="X821" s="18">
        <f>IF(OR(O821="",P821="",R821=""),"",O821*P821*(1-R821))</f>
        <v>33968.08</v>
      </c>
      <c r="Y821" s="18">
        <f>IF(OR(X821="",T821=""),"",X821-T821)</f>
        <v>7065.64</v>
      </c>
      <c r="Z821" s="19">
        <f>IFERROR(Y821/X821,"")</f>
        <v>0.208</v>
      </c>
      <c r="AA821" s="16">
        <f>IF(OR(C821="",D821=""),"",D821-C821)</f>
        <v>0</v>
      </c>
      <c r="AB821" s="16">
        <f>IF(C821="","",MONTH(C821))</f>
        <v>7</v>
      </c>
      <c r="AC821" s="16">
        <f>IF(C821="","",YEAR(C821))</f>
        <v>2024</v>
      </c>
      <c r="AD821" s="16" t="s">
        <v>86</v>
      </c>
      <c r="AE821" s="16" t="s">
        <v>66</v>
      </c>
      <c r="AF821" s="16" t="s">
        <v>296</v>
      </c>
    </row>
    <row r="822" spans="1:32" x14ac:dyDescent="0.25">
      <c r="A822" s="1">
        <v>822</v>
      </c>
      <c r="B822" s="1" t="s">
        <v>2606</v>
      </c>
      <c r="C822" s="2">
        <v>45693.77083333333</v>
      </c>
      <c r="D822" s="2">
        <v>45697.77083333333</v>
      </c>
      <c r="E822" s="1" t="s">
        <v>2607</v>
      </c>
      <c r="F822" s="1" t="s">
        <v>79</v>
      </c>
      <c r="G822" s="1" t="s">
        <v>114</v>
      </c>
      <c r="H822" s="1" t="s">
        <v>36</v>
      </c>
      <c r="I822" s="1" t="s">
        <v>157</v>
      </c>
      <c r="J822" s="1" t="s">
        <v>158</v>
      </c>
      <c r="K822" s="1" t="s">
        <v>55</v>
      </c>
      <c r="L822" s="1" t="s">
        <v>182</v>
      </c>
      <c r="M822" s="1" t="s">
        <v>2608</v>
      </c>
      <c r="N822" s="1" t="s">
        <v>76</v>
      </c>
      <c r="O822" s="1">
        <v>2</v>
      </c>
      <c r="P822" s="3">
        <v>319.57</v>
      </c>
      <c r="Q822" s="4">
        <v>0.2</v>
      </c>
      <c r="R822" s="4">
        <v>0.2</v>
      </c>
      <c r="S822" s="3">
        <v>511.31</v>
      </c>
      <c r="T822" s="3">
        <v>436.43</v>
      </c>
      <c r="U822" s="3">
        <v>74.88</v>
      </c>
      <c r="V822" s="1" t="s">
        <v>43</v>
      </c>
      <c r="W822" s="1" t="s">
        <v>44</v>
      </c>
      <c r="X822" s="3">
        <f>IF(OR(O822="",P822="",R822=""),"",O822*P822*(1-R822))</f>
        <v>511.31</v>
      </c>
      <c r="Y822" s="3">
        <f>IF(OR(X822="",T822=""),"",X822-T822)</f>
        <v>74.88</v>
      </c>
      <c r="Z822" s="4">
        <f>IFERROR(Y822/X822,"")</f>
        <v>0.1464</v>
      </c>
      <c r="AA822" s="1">
        <f>IF(OR(C822="",D822=""),"",D822-C822)</f>
        <v>4</v>
      </c>
      <c r="AB822" s="1">
        <f>IF(C822="","",MONTH(C822))</f>
        <v>2</v>
      </c>
      <c r="AC822" s="1">
        <f>IF(C822="","",YEAR(C822))</f>
        <v>2025</v>
      </c>
      <c r="AD822" s="1" t="s">
        <v>45</v>
      </c>
      <c r="AE822" s="1" t="s">
        <v>46</v>
      </c>
      <c r="AF822" s="1" t="s">
        <v>47</v>
      </c>
    </row>
    <row r="823" spans="1:32" x14ac:dyDescent="0.25">
      <c r="A823" s="1">
        <v>823</v>
      </c>
      <c r="B823" s="1" t="s">
        <v>2609</v>
      </c>
      <c r="C823" s="2">
        <v>45475.77083333333</v>
      </c>
      <c r="D823" s="2">
        <v>45478.77083333333</v>
      </c>
      <c r="E823" s="1" t="s">
        <v>2610</v>
      </c>
      <c r="F823" s="1" t="s">
        <v>149</v>
      </c>
      <c r="G823" s="1" t="s">
        <v>109</v>
      </c>
      <c r="H823" s="1" t="s">
        <v>71</v>
      </c>
      <c r="I823" s="1" t="s">
        <v>201</v>
      </c>
      <c r="J823" s="1" t="s">
        <v>202</v>
      </c>
      <c r="K823" s="1" t="s">
        <v>93</v>
      </c>
      <c r="L823" s="1" t="s">
        <v>94</v>
      </c>
      <c r="M823" s="1" t="s">
        <v>2611</v>
      </c>
      <c r="N823" s="1" t="s">
        <v>64</v>
      </c>
      <c r="O823" s="1">
        <v>7</v>
      </c>
      <c r="P823" s="3">
        <v>1942.49</v>
      </c>
      <c r="Q823" s="4">
        <v>0.2</v>
      </c>
      <c r="R823" s="4">
        <v>0.2</v>
      </c>
      <c r="S823" s="3">
        <v>10877.94</v>
      </c>
      <c r="T823" s="3">
        <v>9110.14</v>
      </c>
      <c r="U823" s="3">
        <v>1767.8</v>
      </c>
      <c r="V823" s="1" t="s">
        <v>43</v>
      </c>
      <c r="W823" s="1" t="s">
        <v>44</v>
      </c>
      <c r="X823" s="3">
        <f>IF(OR(O823="",P823="",R823=""),"",O823*P823*(1-R823))</f>
        <v>10877.94</v>
      </c>
      <c r="Y823" s="3">
        <f>IF(OR(X823="",T823=""),"",X823-T823)</f>
        <v>1767.8</v>
      </c>
      <c r="Z823" s="4">
        <f>IFERROR(Y823/X823,"")</f>
        <v>0.1625</v>
      </c>
      <c r="AA823" s="1">
        <f>IF(OR(C823="",D823=""),"",D823-C823)</f>
        <v>3</v>
      </c>
      <c r="AB823" s="1">
        <f>IF(C823="","",MONTH(C823))</f>
        <v>7</v>
      </c>
      <c r="AC823" s="1">
        <f>IF(C823="","",YEAR(C823))</f>
        <v>2024</v>
      </c>
      <c r="AD823" s="1" t="s">
        <v>45</v>
      </c>
      <c r="AE823" s="1" t="s">
        <v>46</v>
      </c>
      <c r="AF823" s="1" t="s">
        <v>47</v>
      </c>
    </row>
    <row r="824" spans="1:32" s="10" customFormat="1" x14ac:dyDescent="0.25">
      <c r="A824" s="11">
        <v>824</v>
      </c>
      <c r="B824" s="11" t="s">
        <v>2612</v>
      </c>
      <c r="C824" s="12">
        <v>45576.77083333333</v>
      </c>
      <c r="D824" s="12">
        <v>45572.77083333333</v>
      </c>
      <c r="E824" s="11" t="s">
        <v>2613</v>
      </c>
      <c r="F824" s="11" t="s">
        <v>50</v>
      </c>
      <c r="G824" s="11" t="s">
        <v>109</v>
      </c>
      <c r="H824" s="11" t="s">
        <v>52</v>
      </c>
      <c r="I824" s="11" t="s">
        <v>191</v>
      </c>
      <c r="J824" s="11" t="s">
        <v>192</v>
      </c>
      <c r="K824" s="11" t="s">
        <v>55</v>
      </c>
      <c r="L824" s="11" t="s">
        <v>74</v>
      </c>
      <c r="M824" s="11" t="s">
        <v>2614</v>
      </c>
      <c r="N824" s="11" t="s">
        <v>42</v>
      </c>
      <c r="O824" s="11">
        <v>4</v>
      </c>
      <c r="P824" s="13">
        <v>3202.04</v>
      </c>
      <c r="Q824" s="14">
        <v>0.2</v>
      </c>
      <c r="R824" s="14">
        <v>0.2</v>
      </c>
      <c r="S824" s="13">
        <v>10246.53</v>
      </c>
      <c r="T824" s="13">
        <v>8634.42</v>
      </c>
      <c r="U824" s="13">
        <v>1612.11</v>
      </c>
      <c r="V824" s="11" t="s">
        <v>131</v>
      </c>
      <c r="W824" s="11" t="s">
        <v>122</v>
      </c>
      <c r="X824" s="13">
        <f>IF(OR(O824="",P824="",R824=""),"",O824*P824*(1-R824))</f>
        <v>10246.53</v>
      </c>
      <c r="Y824" s="13">
        <f>IF(OR(X824="",T824=""),"",X824-T824)</f>
        <v>1612.11</v>
      </c>
      <c r="Z824" s="14">
        <f>IFERROR(Y824/X824,"")</f>
        <v>0.1573</v>
      </c>
      <c r="AA824" s="11">
        <f>IF(OR(C824="",D824=""),"",D824-C824)</f>
        <v>-4</v>
      </c>
      <c r="AB824" s="11">
        <f>IF(C824="","",MONTH(C824))</f>
        <v>10</v>
      </c>
      <c r="AC824" s="11">
        <f>IF(C824="","",YEAR(C824))</f>
        <v>2024</v>
      </c>
      <c r="AD824" s="11" t="s">
        <v>65</v>
      </c>
      <c r="AE824" s="11" t="s">
        <v>66</v>
      </c>
      <c r="AF824" s="11" t="s">
        <v>1237</v>
      </c>
    </row>
    <row r="825" spans="1:32" x14ac:dyDescent="0.25">
      <c r="A825" s="1">
        <v>825</v>
      </c>
      <c r="B825" s="1" t="s">
        <v>2615</v>
      </c>
      <c r="C825" s="2">
        <v>45662.77083333333</v>
      </c>
      <c r="D825" s="2">
        <v>45668.77083333333</v>
      </c>
      <c r="E825" s="1" t="s">
        <v>2616</v>
      </c>
      <c r="F825" s="1" t="s">
        <v>50</v>
      </c>
      <c r="G825" s="1" t="s">
        <v>114</v>
      </c>
      <c r="H825" s="1" t="s">
        <v>80</v>
      </c>
      <c r="I825" s="1" t="s">
        <v>216</v>
      </c>
      <c r="J825" s="1" t="s">
        <v>217</v>
      </c>
      <c r="K825" s="1" t="s">
        <v>39</v>
      </c>
      <c r="L825" s="1" t="s">
        <v>40</v>
      </c>
      <c r="M825" s="1" t="s">
        <v>2617</v>
      </c>
      <c r="N825" s="1" t="s">
        <v>58</v>
      </c>
      <c r="O825" s="1">
        <v>3</v>
      </c>
      <c r="P825" s="3">
        <v>668.33</v>
      </c>
      <c r="Q825" s="4">
        <v>0.15</v>
      </c>
      <c r="R825" s="4">
        <v>0.15</v>
      </c>
      <c r="S825" s="3">
        <v>1704.24</v>
      </c>
      <c r="T825" s="3">
        <v>957.55</v>
      </c>
      <c r="U825" s="3">
        <v>746.69</v>
      </c>
      <c r="V825" s="1" t="s">
        <v>43</v>
      </c>
      <c r="W825" s="1" t="s">
        <v>44</v>
      </c>
      <c r="X825" s="3">
        <f>IF(OR(O825="",P825="",R825=""),"",O825*P825*(1-R825))</f>
        <v>1704.24</v>
      </c>
      <c r="Y825" s="3">
        <f>IF(OR(X825="",T825=""),"",X825-T825)</f>
        <v>746.69</v>
      </c>
      <c r="Z825" s="4">
        <f>IFERROR(Y825/X825,"")</f>
        <v>0.4381</v>
      </c>
      <c r="AA825" s="1">
        <f>IF(OR(C825="",D825=""),"",D825-C825)</f>
        <v>6</v>
      </c>
      <c r="AB825" s="1">
        <f>IF(C825="","",MONTH(C825))</f>
        <v>1</v>
      </c>
      <c r="AC825" s="1">
        <f>IF(C825="","",YEAR(C825))</f>
        <v>2025</v>
      </c>
      <c r="AD825" s="1" t="s">
        <v>45</v>
      </c>
      <c r="AE825" s="1" t="s">
        <v>46</v>
      </c>
      <c r="AF825" s="1" t="s">
        <v>47</v>
      </c>
    </row>
    <row r="826" spans="1:32" x14ac:dyDescent="0.25">
      <c r="A826" s="1">
        <v>826</v>
      </c>
      <c r="B826" s="1" t="s">
        <v>2618</v>
      </c>
      <c r="C826" s="2">
        <v>45736.77083333333</v>
      </c>
      <c r="D826" s="2">
        <v>45737.77083333333</v>
      </c>
      <c r="E826" s="1" t="s">
        <v>2619</v>
      </c>
      <c r="F826" s="1" t="s">
        <v>135</v>
      </c>
      <c r="G826" s="1" t="s">
        <v>35</v>
      </c>
      <c r="H826" s="1" t="s">
        <v>80</v>
      </c>
      <c r="I826" s="1" t="s">
        <v>216</v>
      </c>
      <c r="J826" s="1" t="s">
        <v>217</v>
      </c>
      <c r="K826" s="1" t="s">
        <v>39</v>
      </c>
      <c r="L826" s="1" t="s">
        <v>40</v>
      </c>
      <c r="M826" s="1" t="s">
        <v>2620</v>
      </c>
      <c r="N826" s="1" t="s">
        <v>64</v>
      </c>
      <c r="O826" s="1">
        <v>8</v>
      </c>
      <c r="P826" s="3">
        <v>4436.74</v>
      </c>
      <c r="Q826" s="4">
        <v>0.05</v>
      </c>
      <c r="R826" s="4">
        <v>0.05</v>
      </c>
      <c r="S826" s="3">
        <v>33719.22</v>
      </c>
      <c r="T826" s="3">
        <v>28924.43</v>
      </c>
      <c r="U826" s="3">
        <v>4794.79</v>
      </c>
      <c r="V826" s="1" t="s">
        <v>43</v>
      </c>
      <c r="W826" s="1" t="s">
        <v>44</v>
      </c>
      <c r="X826" s="3">
        <f>IF(OR(O826="",P826="",R826=""),"",O826*P826*(1-R826))</f>
        <v>33719.22</v>
      </c>
      <c r="Y826" s="3">
        <f>IF(OR(X826="",T826=""),"",X826-T826)</f>
        <v>4794.79</v>
      </c>
      <c r="Z826" s="4">
        <f>IFERROR(Y826/X826,"")</f>
        <v>0.1422</v>
      </c>
      <c r="AA826" s="1">
        <f>IF(OR(C826="",D826=""),"",D826-C826)</f>
        <v>1</v>
      </c>
      <c r="AB826" s="1">
        <f>IF(C826="","",MONTH(C826))</f>
        <v>3</v>
      </c>
      <c r="AC826" s="1">
        <f>IF(C826="","",YEAR(C826))</f>
        <v>2025</v>
      </c>
      <c r="AD826" s="1" t="s">
        <v>45</v>
      </c>
      <c r="AE826" s="1" t="s">
        <v>46</v>
      </c>
      <c r="AF826" s="1" t="s">
        <v>47</v>
      </c>
    </row>
    <row r="827" spans="1:32" x14ac:dyDescent="0.25">
      <c r="A827" s="1">
        <v>827</v>
      </c>
      <c r="B827" s="1" t="s">
        <v>2621</v>
      </c>
      <c r="C827" s="2">
        <v>45762.77083333333</v>
      </c>
      <c r="D827" s="2">
        <v>45763.77083333333</v>
      </c>
      <c r="E827" s="1" t="s">
        <v>2622</v>
      </c>
      <c r="F827" s="1" t="s">
        <v>90</v>
      </c>
      <c r="G827" s="1" t="s">
        <v>51</v>
      </c>
      <c r="H827" s="1" t="s">
        <v>36</v>
      </c>
      <c r="I827" s="1" t="s">
        <v>157</v>
      </c>
      <c r="J827" s="1" t="s">
        <v>158</v>
      </c>
      <c r="K827" s="1" t="s">
        <v>93</v>
      </c>
      <c r="L827" s="1" t="s">
        <v>305</v>
      </c>
      <c r="M827" s="1" t="s">
        <v>2623</v>
      </c>
      <c r="N827" s="1" t="s">
        <v>64</v>
      </c>
      <c r="O827" s="1">
        <v>1</v>
      </c>
      <c r="P827" s="3">
        <v>2720.17</v>
      </c>
      <c r="Q827" s="4">
        <v>0</v>
      </c>
      <c r="R827" s="4">
        <v>0</v>
      </c>
      <c r="S827" s="3">
        <v>2720.17</v>
      </c>
      <c r="T827" s="3">
        <v>1834.23</v>
      </c>
      <c r="U827" s="3">
        <v>885.94</v>
      </c>
      <c r="V827" s="1" t="s">
        <v>43</v>
      </c>
      <c r="W827" s="1" t="s">
        <v>44</v>
      </c>
      <c r="X827" s="3">
        <f>IF(OR(O827="",P827="",R827=""),"",O827*P827*(1-R827))</f>
        <v>2720.17</v>
      </c>
      <c r="Y827" s="3">
        <f>IF(OR(X827="",T827=""),"",X827-T827)</f>
        <v>885.94</v>
      </c>
      <c r="Z827" s="4">
        <f>IFERROR(Y827/X827,"")</f>
        <v>0.3257</v>
      </c>
      <c r="AA827" s="1">
        <f>IF(OR(C827="",D827=""),"",D827-C827)</f>
        <v>1</v>
      </c>
      <c r="AB827" s="1">
        <f>IF(C827="","",MONTH(C827))</f>
        <v>4</v>
      </c>
      <c r="AC827" s="1">
        <f>IF(C827="","",YEAR(C827))</f>
        <v>2025</v>
      </c>
      <c r="AD827" s="1" t="s">
        <v>45</v>
      </c>
      <c r="AE827" s="1" t="s">
        <v>46</v>
      </c>
      <c r="AF827" s="1" t="s">
        <v>47</v>
      </c>
    </row>
    <row r="828" spans="1:32" x14ac:dyDescent="0.25">
      <c r="A828" s="1">
        <v>828</v>
      </c>
      <c r="B828" s="1" t="s">
        <v>2624</v>
      </c>
      <c r="C828" s="2">
        <v>45878.77083333333</v>
      </c>
      <c r="D828" s="2">
        <v>45882.77083333333</v>
      </c>
      <c r="E828" s="1" t="s">
        <v>2625</v>
      </c>
      <c r="F828" s="1" t="s">
        <v>108</v>
      </c>
      <c r="G828" s="1" t="s">
        <v>35</v>
      </c>
      <c r="H828" s="1" t="s">
        <v>80</v>
      </c>
      <c r="I828" s="1" t="s">
        <v>37</v>
      </c>
      <c r="J828" s="1" t="s">
        <v>129</v>
      </c>
      <c r="K828" s="1" t="s">
        <v>93</v>
      </c>
      <c r="L828" s="1" t="s">
        <v>94</v>
      </c>
      <c r="M828" s="1" t="s">
        <v>2626</v>
      </c>
      <c r="N828" s="1" t="s">
        <v>76</v>
      </c>
      <c r="O828" s="1">
        <v>5</v>
      </c>
      <c r="P828" s="3">
        <v>2190.14</v>
      </c>
      <c r="Q828" s="4">
        <v>0.25</v>
      </c>
      <c r="R828" s="4">
        <v>0.25</v>
      </c>
      <c r="S828" s="3">
        <v>8213.02</v>
      </c>
      <c r="T828" s="3">
        <v>5569.3</v>
      </c>
      <c r="U828" s="3">
        <v>2643.72</v>
      </c>
      <c r="V828" s="1" t="s">
        <v>43</v>
      </c>
      <c r="W828" s="1" t="s">
        <v>44</v>
      </c>
      <c r="X828" s="3">
        <f>IF(OR(O828="",P828="",R828=""),"",O828*P828*(1-R828))</f>
        <v>8213.03</v>
      </c>
      <c r="Y828" s="3">
        <f>IF(OR(X828="",T828=""),"",X828-T828)</f>
        <v>2643.73</v>
      </c>
      <c r="Z828" s="4">
        <f>IFERROR(Y828/X828,"")</f>
        <v>0.3219</v>
      </c>
      <c r="AA828" s="1">
        <f>IF(OR(C828="",D828=""),"",D828-C828)</f>
        <v>4</v>
      </c>
      <c r="AB828" s="1">
        <f>IF(C828="","",MONTH(C828))</f>
        <v>8</v>
      </c>
      <c r="AC828" s="1">
        <f>IF(C828="","",YEAR(C828))</f>
        <v>2025</v>
      </c>
      <c r="AD828" s="1" t="s">
        <v>45</v>
      </c>
      <c r="AE828" s="1" t="s">
        <v>46</v>
      </c>
      <c r="AF828" s="1" t="s">
        <v>47</v>
      </c>
    </row>
    <row r="829" spans="1:32" s="15" customFormat="1" x14ac:dyDescent="0.25">
      <c r="A829" s="16">
        <v>829</v>
      </c>
      <c r="B829" s="16" t="s">
        <v>2627</v>
      </c>
      <c r="C829" s="17">
        <v>45619.77083333333</v>
      </c>
      <c r="D829" s="17">
        <v>45626.77083333333</v>
      </c>
      <c r="E829" s="16" t="s">
        <v>2628</v>
      </c>
      <c r="F829" s="16" t="s">
        <v>135</v>
      </c>
      <c r="G829" s="16" t="s">
        <v>114</v>
      </c>
      <c r="H829" s="16" t="s">
        <v>71</v>
      </c>
      <c r="I829" s="16" t="s">
        <v>277</v>
      </c>
      <c r="J829" s="16" t="s">
        <v>278</v>
      </c>
      <c r="K829" s="16" t="s">
        <v>39</v>
      </c>
      <c r="L829" s="16" t="s">
        <v>40</v>
      </c>
      <c r="M829" s="16" t="s">
        <v>2629</v>
      </c>
      <c r="N829" s="16" t="s">
        <v>58</v>
      </c>
      <c r="O829" s="16">
        <v>1</v>
      </c>
      <c r="P829" s="18">
        <v>844.89</v>
      </c>
      <c r="Q829" s="19">
        <v>0.25</v>
      </c>
      <c r="R829" s="19">
        <v>0.25</v>
      </c>
      <c r="S829" s="18">
        <v>633.67</v>
      </c>
      <c r="T829" s="18">
        <v>520.47</v>
      </c>
      <c r="U829" s="18">
        <v>113.2</v>
      </c>
      <c r="V829" s="16" t="s">
        <v>43</v>
      </c>
      <c r="W829" s="16" t="s">
        <v>85</v>
      </c>
      <c r="X829" s="18">
        <f>IF(OR(O829="",P829="",R829=""),"",O829*P829*(1-R829))</f>
        <v>633.67</v>
      </c>
      <c r="Y829" s="18">
        <f>IF(OR(X829="",T829=""),"",X829-T829)</f>
        <v>113.2</v>
      </c>
      <c r="Z829" s="19">
        <f>IFERROR(Y829/X829,"")</f>
        <v>0.1786</v>
      </c>
      <c r="AA829" s="16">
        <f>IF(OR(C829="",D829=""),"",D829-C829)</f>
        <v>7</v>
      </c>
      <c r="AB829" s="16">
        <f>IF(C829="","",MONTH(C829))</f>
        <v>11</v>
      </c>
      <c r="AC829" s="16">
        <f>IF(C829="","",YEAR(C829))</f>
        <v>2024</v>
      </c>
      <c r="AD829" s="16" t="s">
        <v>86</v>
      </c>
      <c r="AE829" s="16" t="s">
        <v>66</v>
      </c>
      <c r="AF829" s="16" t="s">
        <v>87</v>
      </c>
    </row>
    <row r="830" spans="1:32" s="15" customFormat="1" x14ac:dyDescent="0.25">
      <c r="A830" s="16">
        <v>830</v>
      </c>
      <c r="B830" s="16" t="s">
        <v>2630</v>
      </c>
      <c r="C830" s="17">
        <v>45939.77083333333</v>
      </c>
      <c r="D830" s="17">
        <v>45940.77083333333</v>
      </c>
      <c r="E830" s="16" t="s">
        <v>2631</v>
      </c>
      <c r="F830" s="16" t="s">
        <v>34</v>
      </c>
      <c r="G830" s="16" t="s">
        <v>109</v>
      </c>
      <c r="H830" s="16" t="s">
        <v>52</v>
      </c>
      <c r="I830" s="16" t="s">
        <v>53</v>
      </c>
      <c r="J830" s="16" t="s">
        <v>54</v>
      </c>
      <c r="K830" s="16" t="s">
        <v>55</v>
      </c>
      <c r="L830" s="16" t="s">
        <v>83</v>
      </c>
      <c r="M830" s="16" t="s">
        <v>2632</v>
      </c>
      <c r="N830" s="16" t="s">
        <v>42</v>
      </c>
      <c r="O830" s="16">
        <v>7</v>
      </c>
      <c r="P830" s="18">
        <v>3791.96</v>
      </c>
      <c r="Q830" s="19">
        <v>0.05</v>
      </c>
      <c r="R830" s="19">
        <v>0.05</v>
      </c>
      <c r="S830" s="18">
        <v>25216.53</v>
      </c>
      <c r="T830" s="18">
        <v>14216.94</v>
      </c>
      <c r="U830" s="18">
        <v>10999.59</v>
      </c>
      <c r="V830" s="16" t="s">
        <v>178</v>
      </c>
      <c r="W830" s="16" t="s">
        <v>85</v>
      </c>
      <c r="X830" s="18">
        <f>IF(OR(O830="",P830="",R830=""),"",O830*P830*(1-R830))</f>
        <v>25216.53</v>
      </c>
      <c r="Y830" s="18">
        <f>IF(OR(X830="",T830=""),"",X830-T830)</f>
        <v>10999.59</v>
      </c>
      <c r="Z830" s="19">
        <f>IFERROR(Y830/X830,"")</f>
        <v>0.4362</v>
      </c>
      <c r="AA830" s="16">
        <f>IF(OR(C830="",D830=""),"",D830-C830)</f>
        <v>1</v>
      </c>
      <c r="AB830" s="16">
        <f>IF(C830="","",MONTH(C830))</f>
        <v>10</v>
      </c>
      <c r="AC830" s="16">
        <f>IF(C830="","",YEAR(C830))</f>
        <v>2025</v>
      </c>
      <c r="AD830" s="16" t="s">
        <v>86</v>
      </c>
      <c r="AE830" s="16" t="s">
        <v>66</v>
      </c>
      <c r="AF830" s="16" t="s">
        <v>296</v>
      </c>
    </row>
    <row r="831" spans="1:32" x14ac:dyDescent="0.25">
      <c r="A831" s="1">
        <v>831</v>
      </c>
      <c r="B831" s="1" t="s">
        <v>2633</v>
      </c>
      <c r="C831" s="2">
        <v>45347.77083333333</v>
      </c>
      <c r="D831" s="2">
        <v>45349.77083333333</v>
      </c>
      <c r="E831" s="1" t="s">
        <v>2634</v>
      </c>
      <c r="F831" s="1" t="s">
        <v>108</v>
      </c>
      <c r="G831" s="1" t="s">
        <v>51</v>
      </c>
      <c r="H831" s="1" t="s">
        <v>80</v>
      </c>
      <c r="I831" s="1" t="s">
        <v>216</v>
      </c>
      <c r="J831" s="1" t="s">
        <v>217</v>
      </c>
      <c r="K831" s="1" t="s">
        <v>55</v>
      </c>
      <c r="L831" s="1" t="s">
        <v>74</v>
      </c>
      <c r="M831" s="1" t="s">
        <v>2635</v>
      </c>
      <c r="N831" s="1" t="s">
        <v>42</v>
      </c>
      <c r="O831" s="1">
        <v>7</v>
      </c>
      <c r="P831" s="3">
        <v>1035.14</v>
      </c>
      <c r="Q831" s="4">
        <v>0.1</v>
      </c>
      <c r="R831" s="4">
        <v>0.1</v>
      </c>
      <c r="S831" s="3">
        <v>6521.38</v>
      </c>
      <c r="T831" s="3">
        <v>4511.1</v>
      </c>
      <c r="U831" s="3">
        <v>2010.28</v>
      </c>
      <c r="V831" s="1" t="s">
        <v>43</v>
      </c>
      <c r="W831" s="1" t="s">
        <v>44</v>
      </c>
      <c r="X831" s="3">
        <f>IF(OR(O831="",P831="",R831=""),"",O831*P831*(1-R831))</f>
        <v>6521.38</v>
      </c>
      <c r="Y831" s="3">
        <f>IF(OR(X831="",T831=""),"",X831-T831)</f>
        <v>2010.28</v>
      </c>
      <c r="Z831" s="4">
        <f>IFERROR(Y831/X831,"")</f>
        <v>0.3083</v>
      </c>
      <c r="AA831" s="1">
        <f>IF(OR(C831="",D831=""),"",D831-C831)</f>
        <v>2</v>
      </c>
      <c r="AB831" s="1">
        <f>IF(C831="","",MONTH(C831))</f>
        <v>2</v>
      </c>
      <c r="AC831" s="1">
        <f>IF(C831="","",YEAR(C831))</f>
        <v>2024</v>
      </c>
      <c r="AD831" s="1" t="s">
        <v>45</v>
      </c>
      <c r="AE831" s="1" t="s">
        <v>46</v>
      </c>
      <c r="AF831" s="1" t="s">
        <v>47</v>
      </c>
    </row>
    <row r="832" spans="1:32" s="15" customFormat="1" x14ac:dyDescent="0.25">
      <c r="A832" s="16">
        <v>832</v>
      </c>
      <c r="B832" s="16" t="s">
        <v>2636</v>
      </c>
      <c r="C832" s="17">
        <v>45852.77083333333</v>
      </c>
      <c r="D832" s="17">
        <v>45855.77083333333</v>
      </c>
      <c r="E832" s="16" t="s">
        <v>2637</v>
      </c>
      <c r="F832" s="16" t="s">
        <v>108</v>
      </c>
      <c r="G832" s="16" t="s">
        <v>51</v>
      </c>
      <c r="H832" s="16" t="s">
        <v>232</v>
      </c>
      <c r="I832" s="16" t="s">
        <v>277</v>
      </c>
      <c r="J832" s="16" t="s">
        <v>278</v>
      </c>
      <c r="K832" s="16" t="s">
        <v>93</v>
      </c>
      <c r="L832" s="16" t="s">
        <v>305</v>
      </c>
      <c r="M832" s="16" t="s">
        <v>2638</v>
      </c>
      <c r="N832" s="16" t="s">
        <v>64</v>
      </c>
      <c r="O832" s="16">
        <v>6</v>
      </c>
      <c r="P832" s="18">
        <v>2382.88</v>
      </c>
      <c r="Q832" s="19">
        <v>0.1</v>
      </c>
      <c r="R832" s="19">
        <v>0.1</v>
      </c>
      <c r="S832" s="18">
        <v>12867.55</v>
      </c>
      <c r="T832" s="18">
        <v>10068.94</v>
      </c>
      <c r="U832" s="18">
        <v>2798.61</v>
      </c>
      <c r="V832" s="16" t="s">
        <v>43</v>
      </c>
      <c r="W832" s="16" t="s">
        <v>44</v>
      </c>
      <c r="X832" s="18">
        <f>IF(OR(O832="",P832="",R832=""),"",O832*P832*(1-R832))</f>
        <v>12867.55</v>
      </c>
      <c r="Y832" s="18">
        <f>IF(OR(X832="",T832=""),"",X832-T832)</f>
        <v>2798.61</v>
      </c>
      <c r="Z832" s="19">
        <f>IFERROR(Y832/X832,"")</f>
        <v>0.2175</v>
      </c>
      <c r="AA832" s="16">
        <f>IF(OR(C832="",D832=""),"",D832-C832)</f>
        <v>3</v>
      </c>
      <c r="AB832" s="16">
        <f>IF(C832="","",MONTH(C832))</f>
        <v>7</v>
      </c>
      <c r="AC832" s="16">
        <f>IF(C832="","",YEAR(C832))</f>
        <v>2025</v>
      </c>
      <c r="AD832" s="16" t="s">
        <v>86</v>
      </c>
      <c r="AE832" s="16" t="s">
        <v>46</v>
      </c>
      <c r="AF832" s="16" t="s">
        <v>487</v>
      </c>
    </row>
    <row r="833" spans="1:32" s="15" customFormat="1" x14ac:dyDescent="0.25">
      <c r="A833" s="16">
        <v>833</v>
      </c>
      <c r="B833" s="16" t="s">
        <v>2639</v>
      </c>
      <c r="C833" s="17">
        <v>45749.77083333333</v>
      </c>
      <c r="D833" s="17">
        <v>45749.77083333333</v>
      </c>
      <c r="E833" s="16" t="s">
        <v>2640</v>
      </c>
      <c r="F833" s="16" t="s">
        <v>186</v>
      </c>
      <c r="G833" s="16" t="s">
        <v>114</v>
      </c>
      <c r="H833" s="16" t="s">
        <v>232</v>
      </c>
      <c r="I833" s="16" t="s">
        <v>266</v>
      </c>
      <c r="J833" s="16" t="s">
        <v>267</v>
      </c>
      <c r="K833" s="16" t="s">
        <v>55</v>
      </c>
      <c r="L833" s="16" t="s">
        <v>83</v>
      </c>
      <c r="M833" s="16" t="s">
        <v>2641</v>
      </c>
      <c r="N833" s="16" t="s">
        <v>64</v>
      </c>
      <c r="O833" s="16">
        <v>9</v>
      </c>
      <c r="P833" s="18">
        <v>3462.7</v>
      </c>
      <c r="Q833" s="19">
        <v>0.15</v>
      </c>
      <c r="R833" s="19">
        <v>0.15</v>
      </c>
      <c r="S833" s="18">
        <v>26489.65</v>
      </c>
      <c r="T833" s="18">
        <v>15818.46</v>
      </c>
      <c r="U833" s="18">
        <v>10671.19</v>
      </c>
      <c r="V833" s="16" t="s">
        <v>178</v>
      </c>
      <c r="W833" s="16" t="s">
        <v>122</v>
      </c>
      <c r="X833" s="18">
        <f>IF(OR(O833="",P833="",R833=""),"",O833*P833*(1-R833))</f>
        <v>26489.66</v>
      </c>
      <c r="Y833" s="18">
        <f>IF(OR(X833="",T833=""),"",X833-T833)</f>
        <v>10671.2</v>
      </c>
      <c r="Z833" s="19">
        <f>IFERROR(Y833/X833,"")</f>
        <v>0.4028</v>
      </c>
      <c r="AA833" s="16">
        <f>IF(OR(C833="",D833=""),"",D833-C833)</f>
        <v>0</v>
      </c>
      <c r="AB833" s="16">
        <f>IF(C833="","",MONTH(C833))</f>
        <v>4</v>
      </c>
      <c r="AC833" s="16">
        <f>IF(C833="","",YEAR(C833))</f>
        <v>2025</v>
      </c>
      <c r="AD833" s="16" t="s">
        <v>86</v>
      </c>
      <c r="AE833" s="16" t="s">
        <v>66</v>
      </c>
      <c r="AF833" s="16" t="s">
        <v>2642</v>
      </c>
    </row>
    <row r="834" spans="1:32" x14ac:dyDescent="0.25">
      <c r="A834" s="1">
        <v>834</v>
      </c>
      <c r="B834" s="1" t="s">
        <v>2643</v>
      </c>
      <c r="C834" s="2">
        <v>45802.77083333333</v>
      </c>
      <c r="D834" s="2">
        <v>45804.77083333333</v>
      </c>
      <c r="E834" s="1" t="s">
        <v>2644</v>
      </c>
      <c r="F834" s="1" t="s">
        <v>294</v>
      </c>
      <c r="G834" s="1" t="s">
        <v>51</v>
      </c>
      <c r="H834" s="1" t="s">
        <v>71</v>
      </c>
      <c r="I834" s="1" t="s">
        <v>103</v>
      </c>
      <c r="J834" s="1" t="s">
        <v>104</v>
      </c>
      <c r="K834" s="1" t="s">
        <v>93</v>
      </c>
      <c r="L834" s="1" t="s">
        <v>196</v>
      </c>
      <c r="M834" s="1" t="s">
        <v>2645</v>
      </c>
      <c r="N834" s="1" t="s">
        <v>42</v>
      </c>
      <c r="O834" s="1">
        <v>9</v>
      </c>
      <c r="P834" s="3">
        <v>4302.02</v>
      </c>
      <c r="Q834" s="4">
        <v>0.05</v>
      </c>
      <c r="R834" s="4">
        <v>0.05</v>
      </c>
      <c r="S834" s="3">
        <v>36782.27</v>
      </c>
      <c r="T834" s="3">
        <v>25902.81</v>
      </c>
      <c r="U834" s="3">
        <v>10879.46</v>
      </c>
      <c r="V834" s="1" t="s">
        <v>43</v>
      </c>
      <c r="W834" s="1" t="s">
        <v>44</v>
      </c>
      <c r="X834" s="3">
        <f>IF(OR(O834="",P834="",R834=""),"",O834*P834*(1-R834))</f>
        <v>36782.27</v>
      </c>
      <c r="Y834" s="3">
        <f>IF(OR(X834="",T834=""),"",X834-T834)</f>
        <v>10879.46</v>
      </c>
      <c r="Z834" s="4">
        <f>IFERROR(Y834/X834,"")</f>
        <v>0.2958</v>
      </c>
      <c r="AA834" s="1">
        <f>IF(OR(C834="",D834=""),"",D834-C834)</f>
        <v>2</v>
      </c>
      <c r="AB834" s="1">
        <f>IF(C834="","",MONTH(C834))</f>
        <v>5</v>
      </c>
      <c r="AC834" s="1">
        <f>IF(C834="","",YEAR(C834))</f>
        <v>2025</v>
      </c>
      <c r="AD834" s="1" t="s">
        <v>45</v>
      </c>
      <c r="AE834" s="1" t="s">
        <v>46</v>
      </c>
      <c r="AF834" s="1" t="s">
        <v>47</v>
      </c>
    </row>
    <row r="835" spans="1:32" x14ac:dyDescent="0.25">
      <c r="A835" s="1">
        <v>835</v>
      </c>
      <c r="B835" s="1" t="s">
        <v>2646</v>
      </c>
      <c r="C835" s="2">
        <v>45446.77083333333</v>
      </c>
      <c r="D835" s="2">
        <v>45446.77083333333</v>
      </c>
      <c r="E835" s="1" t="s">
        <v>2647</v>
      </c>
      <c r="F835" s="1" t="s">
        <v>139</v>
      </c>
      <c r="G835" s="1" t="s">
        <v>114</v>
      </c>
      <c r="H835" s="1" t="s">
        <v>52</v>
      </c>
      <c r="I835" s="1" t="s">
        <v>118</v>
      </c>
      <c r="J835" s="1" t="s">
        <v>119</v>
      </c>
      <c r="K835" s="1" t="s">
        <v>55</v>
      </c>
      <c r="L835" s="1" t="s">
        <v>182</v>
      </c>
      <c r="M835" s="1" t="s">
        <v>2648</v>
      </c>
      <c r="N835" s="1" t="s">
        <v>64</v>
      </c>
      <c r="O835" s="1">
        <v>6</v>
      </c>
      <c r="P835" s="3">
        <v>3949.4</v>
      </c>
      <c r="Q835" s="4">
        <v>0</v>
      </c>
      <c r="R835" s="4">
        <v>0</v>
      </c>
      <c r="S835" s="3">
        <v>23696.4</v>
      </c>
      <c r="T835" s="3">
        <v>18109.77</v>
      </c>
      <c r="U835" s="3">
        <v>5586.63</v>
      </c>
      <c r="V835" s="1" t="s">
        <v>43</v>
      </c>
      <c r="W835" s="1" t="s">
        <v>44</v>
      </c>
      <c r="X835" s="3">
        <f>IF(OR(O835="",P835="",R835=""),"",O835*P835*(1-R835))</f>
        <v>23696.4</v>
      </c>
      <c r="Y835" s="3">
        <f>IF(OR(X835="",T835=""),"",X835-T835)</f>
        <v>5586.63</v>
      </c>
      <c r="Z835" s="4">
        <f>IFERROR(Y835/X835,"")</f>
        <v>0.2358</v>
      </c>
      <c r="AA835" s="1">
        <f>IF(OR(C835="",D835=""),"",D835-C835)</f>
        <v>0</v>
      </c>
      <c r="AB835" s="1">
        <f>IF(C835="","",MONTH(C835))</f>
        <v>6</v>
      </c>
      <c r="AC835" s="1">
        <f>IF(C835="","",YEAR(C835))</f>
        <v>2024</v>
      </c>
      <c r="AD835" s="1" t="s">
        <v>45</v>
      </c>
      <c r="AE835" s="1" t="s">
        <v>46</v>
      </c>
      <c r="AF835" s="1" t="s">
        <v>47</v>
      </c>
    </row>
    <row r="836" spans="1:32" s="10" customFormat="1" x14ac:dyDescent="0.25">
      <c r="A836" s="11">
        <v>836</v>
      </c>
      <c r="B836" s="11" t="s">
        <v>2649</v>
      </c>
      <c r="C836" s="12">
        <v>45582.77083333333</v>
      </c>
      <c r="D836" s="12">
        <v>45586.77083333333</v>
      </c>
      <c r="E836" s="11" t="s">
        <v>2650</v>
      </c>
      <c r="F836" s="11" t="s">
        <v>149</v>
      </c>
      <c r="G836" s="11" t="s">
        <v>114</v>
      </c>
      <c r="H836" s="11" t="s">
        <v>71</v>
      </c>
      <c r="I836" s="11" t="s">
        <v>72</v>
      </c>
      <c r="J836" s="11" t="s">
        <v>73</v>
      </c>
      <c r="K836" s="11" t="s">
        <v>39</v>
      </c>
      <c r="L836" s="11" t="s">
        <v>62</v>
      </c>
      <c r="M836" s="11" t="s">
        <v>2651</v>
      </c>
      <c r="N836" s="11" t="s">
        <v>64</v>
      </c>
      <c r="O836" s="11">
        <v>6</v>
      </c>
      <c r="P836" s="13">
        <v>674.61</v>
      </c>
      <c r="Q836" s="14">
        <v>0</v>
      </c>
      <c r="R836" s="14">
        <v>0</v>
      </c>
      <c r="S836" s="13">
        <v>4047.66</v>
      </c>
      <c r="T836" s="13">
        <v>3078.93</v>
      </c>
      <c r="U836" s="13">
        <v>1279.79</v>
      </c>
      <c r="V836" s="11" t="s">
        <v>43</v>
      </c>
      <c r="W836" s="11" t="s">
        <v>44</v>
      </c>
      <c r="X836" s="13">
        <f>IF(OR(O836="",P836="",R836=""),"",O836*P836*(1-R836))</f>
        <v>4047.66</v>
      </c>
      <c r="Y836" s="13">
        <f>IF(OR(X836="",T836=""),"",X836-T836)</f>
        <v>968.73</v>
      </c>
      <c r="Z836" s="14">
        <f>IFERROR(Y836/X836,"")</f>
        <v>0.2393</v>
      </c>
      <c r="AA836" s="11">
        <f>IF(OR(C836="",D836=""),"",D836-C836)</f>
        <v>4</v>
      </c>
      <c r="AB836" s="11">
        <f>IF(C836="","",MONTH(C836))</f>
        <v>10</v>
      </c>
      <c r="AC836" s="11">
        <f>IF(C836="","",YEAR(C836))</f>
        <v>2024</v>
      </c>
      <c r="AD836" s="11" t="s">
        <v>65</v>
      </c>
      <c r="AE836" s="11" t="s">
        <v>66</v>
      </c>
      <c r="AF836" s="11" t="s">
        <v>332</v>
      </c>
    </row>
    <row r="837" spans="1:32" x14ac:dyDescent="0.25">
      <c r="A837" s="1">
        <v>837</v>
      </c>
      <c r="B837" s="1" t="s">
        <v>2652</v>
      </c>
      <c r="C837" s="2">
        <v>45925.77083333333</v>
      </c>
      <c r="D837" s="2">
        <v>45933.77083333333</v>
      </c>
      <c r="E837" s="1" t="s">
        <v>2653</v>
      </c>
      <c r="F837" s="1" t="s">
        <v>135</v>
      </c>
      <c r="G837" s="1" t="s">
        <v>51</v>
      </c>
      <c r="H837" s="1" t="s">
        <v>52</v>
      </c>
      <c r="I837" s="1" t="s">
        <v>191</v>
      </c>
      <c r="J837" s="1" t="s">
        <v>192</v>
      </c>
      <c r="K837" s="1" t="s">
        <v>93</v>
      </c>
      <c r="L837" s="1" t="s">
        <v>196</v>
      </c>
      <c r="M837" s="1" t="s">
        <v>2654</v>
      </c>
      <c r="N837" s="1" t="s">
        <v>42</v>
      </c>
      <c r="O837" s="1">
        <v>7</v>
      </c>
      <c r="P837" s="3">
        <v>1509.59</v>
      </c>
      <c r="Q837" s="4">
        <v>0.05</v>
      </c>
      <c r="R837" s="4">
        <v>0.05</v>
      </c>
      <c r="S837" s="3">
        <v>10038.77</v>
      </c>
      <c r="T837" s="3">
        <v>5673.1</v>
      </c>
      <c r="U837" s="3">
        <v>4365.67</v>
      </c>
      <c r="V837" s="1" t="s">
        <v>43</v>
      </c>
      <c r="W837" s="1" t="s">
        <v>44</v>
      </c>
      <c r="X837" s="3">
        <f>IF(OR(O837="",P837="",R837=""),"",O837*P837*(1-R837))</f>
        <v>10038.77</v>
      </c>
      <c r="Y837" s="3">
        <f>IF(OR(X837="",T837=""),"",X837-T837)</f>
        <v>4365.67</v>
      </c>
      <c r="Z837" s="4">
        <f>IFERROR(Y837/X837,"")</f>
        <v>0.4349</v>
      </c>
      <c r="AA837" s="1">
        <f>IF(OR(C837="",D837=""),"",D837-C837)</f>
        <v>8</v>
      </c>
      <c r="AB837" s="1">
        <f>IF(C837="","",MONTH(C837))</f>
        <v>9</v>
      </c>
      <c r="AC837" s="1">
        <f>IF(C837="","",YEAR(C837))</f>
        <v>2025</v>
      </c>
      <c r="AD837" s="1" t="s">
        <v>45</v>
      </c>
      <c r="AE837" s="1" t="s">
        <v>46</v>
      </c>
      <c r="AF837" s="1" t="s">
        <v>47</v>
      </c>
    </row>
    <row r="838" spans="1:32" x14ac:dyDescent="0.25">
      <c r="A838" s="1">
        <v>838</v>
      </c>
      <c r="B838" s="1" t="s">
        <v>2655</v>
      </c>
      <c r="C838" s="2">
        <v>45640.77083333333</v>
      </c>
      <c r="D838" s="2">
        <v>45643.77083333333</v>
      </c>
      <c r="E838" s="1" t="s">
        <v>2656</v>
      </c>
      <c r="F838" s="1" t="s">
        <v>61</v>
      </c>
      <c r="G838" s="1" t="s">
        <v>51</v>
      </c>
      <c r="H838" s="1" t="s">
        <v>36</v>
      </c>
      <c r="I838" s="1" t="s">
        <v>37</v>
      </c>
      <c r="J838" s="1" t="s">
        <v>38</v>
      </c>
      <c r="K838" s="1" t="s">
        <v>39</v>
      </c>
      <c r="L838" s="1" t="s">
        <v>110</v>
      </c>
      <c r="M838" s="1" t="s">
        <v>2657</v>
      </c>
      <c r="N838" s="1" t="s">
        <v>42</v>
      </c>
      <c r="O838" s="1">
        <v>2</v>
      </c>
      <c r="P838" s="3">
        <v>537.11</v>
      </c>
      <c r="Q838" s="4">
        <v>0</v>
      </c>
      <c r="R838" s="4">
        <v>0</v>
      </c>
      <c r="S838" s="3">
        <v>1074.22</v>
      </c>
      <c r="T838" s="3">
        <v>850.86</v>
      </c>
      <c r="U838" s="3">
        <v>223.36</v>
      </c>
      <c r="V838" s="1" t="s">
        <v>43</v>
      </c>
      <c r="W838" s="1" t="s">
        <v>44</v>
      </c>
      <c r="X838" s="3">
        <f>IF(OR(O838="",P838="",R838=""),"",O838*P838*(1-R838))</f>
        <v>1074.22</v>
      </c>
      <c r="Y838" s="3">
        <f>IF(OR(X838="",T838=""),"",X838-T838)</f>
        <v>223.36</v>
      </c>
      <c r="Z838" s="4">
        <f>IFERROR(Y838/X838,"")</f>
        <v>0.2079</v>
      </c>
      <c r="AA838" s="1">
        <f>IF(OR(C838="",D838=""),"",D838-C838)</f>
        <v>3</v>
      </c>
      <c r="AB838" s="1">
        <f>IF(C838="","",MONTH(C838))</f>
        <v>12</v>
      </c>
      <c r="AC838" s="1">
        <f>IF(C838="","",YEAR(C838))</f>
        <v>2024</v>
      </c>
      <c r="AD838" s="1" t="s">
        <v>45</v>
      </c>
      <c r="AE838" s="1" t="s">
        <v>46</v>
      </c>
      <c r="AF838" s="1" t="s">
        <v>47</v>
      </c>
    </row>
    <row r="839" spans="1:32" x14ac:dyDescent="0.25">
      <c r="A839" s="1">
        <v>839</v>
      </c>
      <c r="B839" s="1" t="s">
        <v>2658</v>
      </c>
      <c r="C839" s="2">
        <v>45926.77083333333</v>
      </c>
      <c r="D839" s="2">
        <v>45927.77083333333</v>
      </c>
      <c r="E839" s="1" t="s">
        <v>2659</v>
      </c>
      <c r="F839" s="1" t="s">
        <v>34</v>
      </c>
      <c r="G839" s="1" t="s">
        <v>114</v>
      </c>
      <c r="H839" s="1" t="s">
        <v>80</v>
      </c>
      <c r="I839" s="1" t="s">
        <v>81</v>
      </c>
      <c r="J839" s="1" t="s">
        <v>82</v>
      </c>
      <c r="K839" s="1" t="s">
        <v>39</v>
      </c>
      <c r="L839" s="1" t="s">
        <v>40</v>
      </c>
      <c r="M839" s="1" t="s">
        <v>2660</v>
      </c>
      <c r="N839" s="1" t="s">
        <v>64</v>
      </c>
      <c r="O839" s="1">
        <v>3</v>
      </c>
      <c r="P839" s="3">
        <v>4177.63</v>
      </c>
      <c r="Q839" s="4">
        <v>0.25</v>
      </c>
      <c r="R839" s="4">
        <v>0.25</v>
      </c>
      <c r="S839" s="3">
        <v>9399.67</v>
      </c>
      <c r="T839" s="3">
        <v>6540.37</v>
      </c>
      <c r="U839" s="3">
        <v>2859.3</v>
      </c>
      <c r="V839" s="1" t="s">
        <v>43</v>
      </c>
      <c r="W839" s="1" t="s">
        <v>44</v>
      </c>
      <c r="X839" s="3">
        <f>IF(OR(O839="",P839="",R839=""),"",O839*P839*(1-R839))</f>
        <v>9399.67</v>
      </c>
      <c r="Y839" s="3">
        <f>IF(OR(X839="",T839=""),"",X839-T839)</f>
        <v>2859.3</v>
      </c>
      <c r="Z839" s="4">
        <f>IFERROR(Y839/X839,"")</f>
        <v>0.3042</v>
      </c>
      <c r="AA839" s="1">
        <f>IF(OR(C839="",D839=""),"",D839-C839)</f>
        <v>1</v>
      </c>
      <c r="AB839" s="1">
        <f>IF(C839="","",MONTH(C839))</f>
        <v>9</v>
      </c>
      <c r="AC839" s="1">
        <f>IF(C839="","",YEAR(C839))</f>
        <v>2025</v>
      </c>
      <c r="AD839" s="1" t="s">
        <v>45</v>
      </c>
      <c r="AE839" s="1" t="s">
        <v>46</v>
      </c>
      <c r="AF839" s="1" t="s">
        <v>47</v>
      </c>
    </row>
    <row r="840" spans="1:32" s="15" customFormat="1" x14ac:dyDescent="0.25">
      <c r="A840" s="16">
        <v>840</v>
      </c>
      <c r="B840" s="16" t="s">
        <v>2661</v>
      </c>
      <c r="C840" s="17">
        <v>45749.77083333333</v>
      </c>
      <c r="D840" s="17">
        <v>45753.77083333333</v>
      </c>
      <c r="E840" s="16" t="s">
        <v>2662</v>
      </c>
      <c r="F840" s="16" t="s">
        <v>79</v>
      </c>
      <c r="G840" s="16" t="s">
        <v>51</v>
      </c>
      <c r="H840" s="16" t="s">
        <v>80</v>
      </c>
      <c r="I840" s="16" t="s">
        <v>216</v>
      </c>
      <c r="J840" s="16" t="s">
        <v>217</v>
      </c>
      <c r="K840" s="16" t="s">
        <v>39</v>
      </c>
      <c r="L840" s="16" t="s">
        <v>40</v>
      </c>
      <c r="M840" s="16" t="s">
        <v>2663</v>
      </c>
      <c r="N840" s="16" t="s">
        <v>58</v>
      </c>
      <c r="O840" s="16">
        <v>1</v>
      </c>
      <c r="P840" s="18">
        <v>1470.57</v>
      </c>
      <c r="Q840" s="19">
        <v>0</v>
      </c>
      <c r="R840" s="19">
        <v>0</v>
      </c>
      <c r="S840" s="18">
        <v>1470.57</v>
      </c>
      <c r="T840" s="18">
        <v>834.02</v>
      </c>
      <c r="U840" s="18">
        <v>636.55</v>
      </c>
      <c r="V840" s="16" t="s">
        <v>43</v>
      </c>
      <c r="W840" s="16" t="s">
        <v>122</v>
      </c>
      <c r="X840" s="18">
        <f>IF(OR(O840="",P840="",R840=""),"",O840*P840*(1-R840))</f>
        <v>1470.57</v>
      </c>
      <c r="Y840" s="18">
        <f>IF(OR(X840="",T840=""),"",X840-T840)</f>
        <v>636.55</v>
      </c>
      <c r="Z840" s="19">
        <f>IFERROR(Y840/X840,"")</f>
        <v>0.4329</v>
      </c>
      <c r="AA840" s="16">
        <f>IF(OR(C840="",D840=""),"",D840-C840)</f>
        <v>4</v>
      </c>
      <c r="AB840" s="16">
        <f>IF(C840="","",MONTH(C840))</f>
        <v>4</v>
      </c>
      <c r="AC840" s="16">
        <f>IF(C840="","",YEAR(C840))</f>
        <v>2025</v>
      </c>
      <c r="AD840" s="16" t="s">
        <v>86</v>
      </c>
      <c r="AE840" s="16" t="s">
        <v>66</v>
      </c>
      <c r="AF840" s="16" t="s">
        <v>198</v>
      </c>
    </row>
    <row r="841" spans="1:32" x14ac:dyDescent="0.25">
      <c r="A841" s="1">
        <v>841</v>
      </c>
      <c r="B841" s="1" t="s">
        <v>2664</v>
      </c>
      <c r="C841" s="2">
        <v>45554.77083333333</v>
      </c>
      <c r="D841" s="2">
        <v>45556.77083333333</v>
      </c>
      <c r="E841" s="1" t="s">
        <v>2665</v>
      </c>
      <c r="F841" s="1" t="s">
        <v>163</v>
      </c>
      <c r="G841" s="1" t="s">
        <v>114</v>
      </c>
      <c r="H841" s="1" t="s">
        <v>52</v>
      </c>
      <c r="I841" s="1" t="s">
        <v>53</v>
      </c>
      <c r="J841" s="1" t="s">
        <v>54</v>
      </c>
      <c r="K841" s="1" t="s">
        <v>93</v>
      </c>
      <c r="L841" s="1" t="s">
        <v>196</v>
      </c>
      <c r="M841" s="1" t="s">
        <v>2666</v>
      </c>
      <c r="N841" s="1" t="s">
        <v>76</v>
      </c>
      <c r="O841" s="1">
        <v>8</v>
      </c>
      <c r="P841" s="3">
        <v>531.43</v>
      </c>
      <c r="Q841" s="4">
        <v>0.1</v>
      </c>
      <c r="R841" s="4">
        <v>0.1</v>
      </c>
      <c r="S841" s="3">
        <v>3826.3</v>
      </c>
      <c r="T841" s="3">
        <v>2194.12</v>
      </c>
      <c r="U841" s="3">
        <v>1632.18</v>
      </c>
      <c r="V841" s="1" t="s">
        <v>43</v>
      </c>
      <c r="W841" s="1" t="s">
        <v>44</v>
      </c>
      <c r="X841" s="3">
        <f>IF(OR(O841="",P841="",R841=""),"",O841*P841*(1-R841))</f>
        <v>3826.3</v>
      </c>
      <c r="Y841" s="3">
        <f>IF(OR(X841="",T841=""),"",X841-T841)</f>
        <v>1632.18</v>
      </c>
      <c r="Z841" s="4">
        <f>IFERROR(Y841/X841,"")</f>
        <v>0.4266</v>
      </c>
      <c r="AA841" s="1">
        <f>IF(OR(C841="",D841=""),"",D841-C841)</f>
        <v>2</v>
      </c>
      <c r="AB841" s="1">
        <f>IF(C841="","",MONTH(C841))</f>
        <v>9</v>
      </c>
      <c r="AC841" s="1">
        <f>IF(C841="","",YEAR(C841))</f>
        <v>2024</v>
      </c>
      <c r="AD841" s="1" t="s">
        <v>45</v>
      </c>
      <c r="AE841" s="1" t="s">
        <v>46</v>
      </c>
      <c r="AF841" s="1" t="s">
        <v>47</v>
      </c>
    </row>
    <row r="842" spans="1:32" x14ac:dyDescent="0.25">
      <c r="A842" s="1">
        <v>842</v>
      </c>
      <c r="B842" s="1" t="s">
        <v>2667</v>
      </c>
      <c r="C842" s="2">
        <v>45918.77083333333</v>
      </c>
      <c r="D842" s="2">
        <v>45918.77083333333</v>
      </c>
      <c r="E842" s="1" t="s">
        <v>2668</v>
      </c>
      <c r="F842" s="1" t="s">
        <v>98</v>
      </c>
      <c r="G842" s="1" t="s">
        <v>114</v>
      </c>
      <c r="H842" s="1" t="s">
        <v>36</v>
      </c>
      <c r="I842" s="1" t="s">
        <v>384</v>
      </c>
      <c r="J842" s="1" t="s">
        <v>385</v>
      </c>
      <c r="K842" s="1" t="s">
        <v>55</v>
      </c>
      <c r="L842" s="1" t="s">
        <v>83</v>
      </c>
      <c r="M842" s="1" t="s">
        <v>2669</v>
      </c>
      <c r="N842" s="1" t="s">
        <v>58</v>
      </c>
      <c r="O842" s="1">
        <v>4</v>
      </c>
      <c r="P842" s="3">
        <v>1584.11</v>
      </c>
      <c r="Q842" s="4">
        <v>0</v>
      </c>
      <c r="R842" s="4">
        <v>0</v>
      </c>
      <c r="S842" s="3">
        <v>6336.44</v>
      </c>
      <c r="T842" s="3">
        <v>4680.68</v>
      </c>
      <c r="U842" s="3">
        <v>1655.76</v>
      </c>
      <c r="V842" s="1" t="s">
        <v>43</v>
      </c>
      <c r="W842" s="1" t="s">
        <v>44</v>
      </c>
      <c r="X842" s="3">
        <f>IF(OR(O842="",P842="",R842=""),"",O842*P842*(1-R842))</f>
        <v>6336.44</v>
      </c>
      <c r="Y842" s="3">
        <f>IF(OR(X842="",T842=""),"",X842-T842)</f>
        <v>1655.76</v>
      </c>
      <c r="Z842" s="4">
        <f>IFERROR(Y842/X842,"")</f>
        <v>0.2613</v>
      </c>
      <c r="AA842" s="1">
        <f>IF(OR(C842="",D842=""),"",D842-C842)</f>
        <v>0</v>
      </c>
      <c r="AB842" s="1">
        <f>IF(C842="","",MONTH(C842))</f>
        <v>9</v>
      </c>
      <c r="AC842" s="1">
        <f>IF(C842="","",YEAR(C842))</f>
        <v>2025</v>
      </c>
      <c r="AD842" s="1" t="s">
        <v>45</v>
      </c>
      <c r="AE842" s="1" t="s">
        <v>46</v>
      </c>
      <c r="AF842" s="1" t="s">
        <v>47</v>
      </c>
    </row>
    <row r="843" spans="1:32" x14ac:dyDescent="0.25">
      <c r="A843" s="1">
        <v>843</v>
      </c>
      <c r="B843" s="1" t="s">
        <v>2670</v>
      </c>
      <c r="C843" s="2">
        <v>45693.77083333333</v>
      </c>
      <c r="D843" s="2">
        <v>45699.77083333333</v>
      </c>
      <c r="E843" s="1" t="s">
        <v>2671</v>
      </c>
      <c r="F843" s="1" t="s">
        <v>79</v>
      </c>
      <c r="G843" s="1" t="s">
        <v>51</v>
      </c>
      <c r="H843" s="1" t="s">
        <v>52</v>
      </c>
      <c r="I843" s="1" t="s">
        <v>168</v>
      </c>
      <c r="J843" s="1" t="s">
        <v>169</v>
      </c>
      <c r="K843" s="1" t="s">
        <v>39</v>
      </c>
      <c r="L843" s="1" t="s">
        <v>62</v>
      </c>
      <c r="M843" s="1" t="s">
        <v>2672</v>
      </c>
      <c r="N843" s="1" t="s">
        <v>76</v>
      </c>
      <c r="O843" s="1">
        <v>9</v>
      </c>
      <c r="P843" s="3">
        <v>3237.16</v>
      </c>
      <c r="Q843" s="4">
        <v>0.25</v>
      </c>
      <c r="R843" s="4">
        <v>0.25</v>
      </c>
      <c r="S843" s="3">
        <v>21850.83</v>
      </c>
      <c r="T843" s="3">
        <v>16600.13</v>
      </c>
      <c r="U843" s="3">
        <v>5250.7</v>
      </c>
      <c r="V843" s="1" t="s">
        <v>43</v>
      </c>
      <c r="W843" s="1" t="s">
        <v>44</v>
      </c>
      <c r="X843" s="3">
        <f>IF(OR(O843="",P843="",R843=""),"",O843*P843*(1-R843))</f>
        <v>21850.83</v>
      </c>
      <c r="Y843" s="3">
        <f>IF(OR(X843="",T843=""),"",X843-T843)</f>
        <v>5250.7</v>
      </c>
      <c r="Z843" s="4">
        <f>IFERROR(Y843/X843,"")</f>
        <v>0.2403</v>
      </c>
      <c r="AA843" s="1">
        <f>IF(OR(C843="",D843=""),"",D843-C843)</f>
        <v>6</v>
      </c>
      <c r="AB843" s="1">
        <f>IF(C843="","",MONTH(C843))</f>
        <v>2</v>
      </c>
      <c r="AC843" s="1">
        <f>IF(C843="","",YEAR(C843))</f>
        <v>2025</v>
      </c>
      <c r="AD843" s="1" t="s">
        <v>45</v>
      </c>
      <c r="AE843" s="1" t="s">
        <v>46</v>
      </c>
      <c r="AF843" s="1" t="s">
        <v>47</v>
      </c>
    </row>
    <row r="844" spans="1:32" s="10" customFormat="1" x14ac:dyDescent="0.25">
      <c r="A844" s="11">
        <v>844</v>
      </c>
      <c r="B844" s="11" t="s">
        <v>2673</v>
      </c>
      <c r="C844" s="12">
        <v>45381.77083333333</v>
      </c>
      <c r="D844" s="12">
        <v>45380.77083333333</v>
      </c>
      <c r="E844" s="11" t="s">
        <v>2674</v>
      </c>
      <c r="F844" s="11" t="s">
        <v>294</v>
      </c>
      <c r="G844" s="11" t="s">
        <v>35</v>
      </c>
      <c r="H844" s="11" t="s">
        <v>36</v>
      </c>
      <c r="I844" s="11" t="s">
        <v>266</v>
      </c>
      <c r="J844" s="11" t="s">
        <v>267</v>
      </c>
      <c r="K844" s="11" t="s">
        <v>93</v>
      </c>
      <c r="L844" s="11" t="s">
        <v>305</v>
      </c>
      <c r="M844" s="11" t="s">
        <v>2675</v>
      </c>
      <c r="N844" s="11" t="s">
        <v>64</v>
      </c>
      <c r="O844" s="11">
        <v>4</v>
      </c>
      <c r="P844" s="13">
        <v>2192.08</v>
      </c>
      <c r="Q844" s="14">
        <v>0.15</v>
      </c>
      <c r="R844" s="14">
        <v>0.15</v>
      </c>
      <c r="S844" s="13">
        <v>7453.07</v>
      </c>
      <c r="T844" s="13">
        <v>5133.78</v>
      </c>
      <c r="U844" s="13">
        <v>2319.29</v>
      </c>
      <c r="V844" s="11" t="s">
        <v>43</v>
      </c>
      <c r="W844" s="11" t="s">
        <v>122</v>
      </c>
      <c r="X844" s="13">
        <f>IF(OR(O844="",P844="",R844=""),"",O844*P844*(1-R844))</f>
        <v>7453.07</v>
      </c>
      <c r="Y844" s="13">
        <f>IF(OR(X844="",T844=""),"",X844-T844)</f>
        <v>2319.29</v>
      </c>
      <c r="Z844" s="14">
        <f>IFERROR(Y844/X844,"")</f>
        <v>0.3112</v>
      </c>
      <c r="AA844" s="11">
        <f>IF(OR(C844="",D844=""),"",D844-C844)</f>
        <v>-1</v>
      </c>
      <c r="AB844" s="11">
        <f>IF(C844="","",MONTH(C844))</f>
        <v>3</v>
      </c>
      <c r="AC844" s="11">
        <f>IF(C844="","",YEAR(C844))</f>
        <v>2024</v>
      </c>
      <c r="AD844" s="11" t="s">
        <v>65</v>
      </c>
      <c r="AE844" s="11" t="s">
        <v>66</v>
      </c>
      <c r="AF844" s="11" t="s">
        <v>2676</v>
      </c>
    </row>
    <row r="845" spans="1:32" s="10" customFormat="1" x14ac:dyDescent="0.25">
      <c r="A845" s="11">
        <v>845</v>
      </c>
      <c r="B845" s="11" t="s">
        <v>2677</v>
      </c>
      <c r="C845" s="12">
        <v>45855.77083333333</v>
      </c>
      <c r="D845" s="12">
        <v>45862.77083333333</v>
      </c>
      <c r="E845" s="11" t="s">
        <v>2678</v>
      </c>
      <c r="F845" s="11" t="s">
        <v>135</v>
      </c>
      <c r="G845" s="11" t="s">
        <v>51</v>
      </c>
      <c r="H845" s="11" t="s">
        <v>36</v>
      </c>
      <c r="I845" s="11" t="s">
        <v>157</v>
      </c>
      <c r="J845" s="11" t="s">
        <v>158</v>
      </c>
      <c r="K845" s="11" t="s">
        <v>93</v>
      </c>
      <c r="L845" s="11" t="s">
        <v>196</v>
      </c>
      <c r="M845" s="11" t="s">
        <v>2679</v>
      </c>
      <c r="N845" s="11" t="s">
        <v>64</v>
      </c>
      <c r="O845" s="11">
        <v>9</v>
      </c>
      <c r="P845" s="13">
        <v>3989.52</v>
      </c>
      <c r="Q845" s="14">
        <v>-0.02</v>
      </c>
      <c r="R845" s="14">
        <v>-0.02</v>
      </c>
      <c r="S845" s="13">
        <v>35905.68</v>
      </c>
      <c r="T845" s="13">
        <v>23916.1</v>
      </c>
      <c r="U845" s="13">
        <v>11989.58</v>
      </c>
      <c r="V845" s="11" t="s">
        <v>43</v>
      </c>
      <c r="W845" s="11" t="s">
        <v>44</v>
      </c>
      <c r="X845" s="13">
        <f>IF(OR(O845="",P845="",R845=""),"",O845*P845*(1-R845))</f>
        <v>36623.79</v>
      </c>
      <c r="Y845" s="13">
        <f>IF(OR(X845="",T845=""),"",X845-T845)</f>
        <v>12707.69</v>
      </c>
      <c r="Z845" s="14">
        <f>IFERROR(Y845/X845,"")</f>
        <v>0.347</v>
      </c>
      <c r="AA845" s="11">
        <f>IF(OR(C845="",D845=""),"",D845-C845)</f>
        <v>7</v>
      </c>
      <c r="AB845" s="11">
        <f>IF(C845="","",MONTH(C845))</f>
        <v>7</v>
      </c>
      <c r="AC845" s="11">
        <f>IF(C845="","",YEAR(C845))</f>
        <v>2025</v>
      </c>
      <c r="AD845" s="11" t="s">
        <v>65</v>
      </c>
      <c r="AE845" s="11" t="s">
        <v>66</v>
      </c>
      <c r="AF845" s="11" t="s">
        <v>165</v>
      </c>
    </row>
    <row r="846" spans="1:32" x14ac:dyDescent="0.25">
      <c r="A846" s="1">
        <v>846</v>
      </c>
      <c r="B846" s="1" t="s">
        <v>2680</v>
      </c>
      <c r="C846" s="2">
        <v>45676.77083333333</v>
      </c>
      <c r="D846" s="2">
        <v>45681.77083333333</v>
      </c>
      <c r="E846" s="1" t="s">
        <v>2681</v>
      </c>
      <c r="F846" s="1" t="s">
        <v>108</v>
      </c>
      <c r="G846" s="1" t="s">
        <v>114</v>
      </c>
      <c r="H846" s="1" t="s">
        <v>80</v>
      </c>
      <c r="I846" s="1" t="s">
        <v>216</v>
      </c>
      <c r="J846" s="1" t="s">
        <v>217</v>
      </c>
      <c r="K846" s="1" t="s">
        <v>39</v>
      </c>
      <c r="L846" s="1" t="s">
        <v>62</v>
      </c>
      <c r="M846" s="1" t="s">
        <v>2682</v>
      </c>
      <c r="N846" s="1" t="s">
        <v>64</v>
      </c>
      <c r="O846" s="1">
        <v>1</v>
      </c>
      <c r="P846" s="3">
        <v>3515.15</v>
      </c>
      <c r="Q846" s="4">
        <v>0</v>
      </c>
      <c r="R846" s="4">
        <v>0</v>
      </c>
      <c r="S846" s="3">
        <v>3515.15</v>
      </c>
      <c r="T846" s="3">
        <v>2216.34</v>
      </c>
      <c r="U846" s="3">
        <v>1298.81</v>
      </c>
      <c r="V846" s="1" t="s">
        <v>43</v>
      </c>
      <c r="W846" s="1" t="s">
        <v>44</v>
      </c>
      <c r="X846" s="3">
        <f>IF(OR(O846="",P846="",R846=""),"",O846*P846*(1-R846))</f>
        <v>3515.15</v>
      </c>
      <c r="Y846" s="3">
        <f>IF(OR(X846="",T846=""),"",X846-T846)</f>
        <v>1298.81</v>
      </c>
      <c r="Z846" s="4">
        <f>IFERROR(Y846/X846,"")</f>
        <v>0.3695</v>
      </c>
      <c r="AA846" s="1">
        <f>IF(OR(C846="",D846=""),"",D846-C846)</f>
        <v>5</v>
      </c>
      <c r="AB846" s="1">
        <f>IF(C846="","",MONTH(C846))</f>
        <v>1</v>
      </c>
      <c r="AC846" s="1">
        <f>IF(C846="","",YEAR(C846))</f>
        <v>2025</v>
      </c>
      <c r="AD846" s="1" t="s">
        <v>45</v>
      </c>
      <c r="AE846" s="1" t="s">
        <v>46</v>
      </c>
      <c r="AF846" s="1" t="s">
        <v>47</v>
      </c>
    </row>
    <row r="847" spans="1:32" s="15" customFormat="1" x14ac:dyDescent="0.25">
      <c r="A847" s="16">
        <v>847</v>
      </c>
      <c r="B847" s="16" t="s">
        <v>2683</v>
      </c>
      <c r="C847" s="17">
        <v>45344.77083333333</v>
      </c>
      <c r="D847" s="17">
        <v>45348.77083333333</v>
      </c>
      <c r="E847" s="16" t="s">
        <v>636</v>
      </c>
      <c r="F847" s="16" t="s">
        <v>34</v>
      </c>
      <c r="G847" s="16" t="s">
        <v>35</v>
      </c>
      <c r="H847" s="16" t="s">
        <v>52</v>
      </c>
      <c r="I847" s="16" t="s">
        <v>53</v>
      </c>
      <c r="J847" s="16" t="s">
        <v>54</v>
      </c>
      <c r="K847" s="16" t="s">
        <v>55</v>
      </c>
      <c r="L847" s="16" t="s">
        <v>56</v>
      </c>
      <c r="M847" s="16" t="s">
        <v>2684</v>
      </c>
      <c r="N847" s="16" t="s">
        <v>64</v>
      </c>
      <c r="O847" s="16">
        <v>9</v>
      </c>
      <c r="P847" s="18">
        <v>3616.23</v>
      </c>
      <c r="Q847" s="19">
        <v>0.25</v>
      </c>
      <c r="R847" s="19">
        <v>0.25</v>
      </c>
      <c r="S847" s="18">
        <v>24409.55</v>
      </c>
      <c r="T847" s="18">
        <v>17157.58</v>
      </c>
      <c r="U847" s="18">
        <v>7251.97</v>
      </c>
      <c r="V847" s="16" t="s">
        <v>131</v>
      </c>
      <c r="W847" s="16" t="s">
        <v>122</v>
      </c>
      <c r="X847" s="18">
        <f>IF(OR(O847="",P847="",R847=""),"",O847*P847*(1-R847))</f>
        <v>24409.55</v>
      </c>
      <c r="Y847" s="18">
        <f>IF(OR(X847="",T847=""),"",X847-T847)</f>
        <v>7251.97</v>
      </c>
      <c r="Z847" s="19">
        <f>IFERROR(Y847/X847,"")</f>
        <v>0.2971</v>
      </c>
      <c r="AA847" s="16">
        <f>IF(OR(C847="",D847=""),"",D847-C847)</f>
        <v>4</v>
      </c>
      <c r="AB847" s="16">
        <f>IF(C847="","",MONTH(C847))</f>
        <v>2</v>
      </c>
      <c r="AC847" s="16">
        <f>IF(C847="","",YEAR(C847))</f>
        <v>2024</v>
      </c>
      <c r="AD847" s="16" t="s">
        <v>86</v>
      </c>
      <c r="AE847" s="16" t="s">
        <v>66</v>
      </c>
      <c r="AF847" s="16" t="s">
        <v>132</v>
      </c>
    </row>
    <row r="848" spans="1:32" s="15" customFormat="1" x14ac:dyDescent="0.25">
      <c r="A848" s="16">
        <v>848</v>
      </c>
      <c r="B848" s="16" t="s">
        <v>2685</v>
      </c>
      <c r="C848" s="17">
        <v>45395.77083333333</v>
      </c>
      <c r="D848" s="17">
        <v>45403.77083333333</v>
      </c>
      <c r="E848" s="16" t="s">
        <v>2686</v>
      </c>
      <c r="F848" s="16" t="s">
        <v>135</v>
      </c>
      <c r="G848" s="16" t="s">
        <v>51</v>
      </c>
      <c r="H848" s="16" t="s">
        <v>80</v>
      </c>
      <c r="I848" s="16" t="s">
        <v>206</v>
      </c>
      <c r="J848" s="16" t="s">
        <v>207</v>
      </c>
      <c r="K848" s="16" t="s">
        <v>55</v>
      </c>
      <c r="L848" s="16" t="s">
        <v>182</v>
      </c>
      <c r="M848" s="16" t="s">
        <v>2687</v>
      </c>
      <c r="N848" s="16" t="s">
        <v>76</v>
      </c>
      <c r="O848" s="16">
        <v>2</v>
      </c>
      <c r="P848" s="18">
        <v>3977.52</v>
      </c>
      <c r="Q848" s="19">
        <v>0</v>
      </c>
      <c r="R848" s="19">
        <v>0</v>
      </c>
      <c r="S848" s="18">
        <v>7955.04</v>
      </c>
      <c r="T848" s="18">
        <v>5580.68</v>
      </c>
      <c r="U848" s="18">
        <v>2374.36</v>
      </c>
      <c r="V848" s="16" t="s">
        <v>131</v>
      </c>
      <c r="W848" s="16" t="s">
        <v>122</v>
      </c>
      <c r="X848" s="18">
        <f>IF(OR(O848="",P848="",R848=""),"",O848*P848*(1-R848))</f>
        <v>7955.04</v>
      </c>
      <c r="Y848" s="18">
        <f>IF(OR(X848="",T848=""),"",X848-T848)</f>
        <v>2374.36</v>
      </c>
      <c r="Z848" s="19">
        <f>IFERROR(Y848/X848,"")</f>
        <v>0.2985</v>
      </c>
      <c r="AA848" s="16">
        <f>IF(OR(C848="",D848=""),"",D848-C848)</f>
        <v>8</v>
      </c>
      <c r="AB848" s="16">
        <f>IF(C848="","",MONTH(C848))</f>
        <v>4</v>
      </c>
      <c r="AC848" s="16">
        <f>IF(C848="","",YEAR(C848))</f>
        <v>2024</v>
      </c>
      <c r="AD848" s="16" t="s">
        <v>86</v>
      </c>
      <c r="AE848" s="16" t="s">
        <v>66</v>
      </c>
      <c r="AF848" s="16" t="s">
        <v>132</v>
      </c>
    </row>
    <row r="849" spans="1:32" x14ac:dyDescent="0.25">
      <c r="A849" s="1">
        <v>849</v>
      </c>
      <c r="B849" s="1" t="s">
        <v>2688</v>
      </c>
      <c r="C849" s="2">
        <v>45796.77083333333</v>
      </c>
      <c r="D849" s="2">
        <v>45798.77083333333</v>
      </c>
      <c r="E849" s="1" t="s">
        <v>2689</v>
      </c>
      <c r="F849" s="1" t="s">
        <v>186</v>
      </c>
      <c r="G849" s="1" t="s">
        <v>114</v>
      </c>
      <c r="H849" s="1" t="s">
        <v>52</v>
      </c>
      <c r="I849" s="1" t="s">
        <v>53</v>
      </c>
      <c r="J849" s="1" t="s">
        <v>54</v>
      </c>
      <c r="K849" s="1" t="s">
        <v>55</v>
      </c>
      <c r="L849" s="1" t="s">
        <v>56</v>
      </c>
      <c r="M849" s="1" t="s">
        <v>2690</v>
      </c>
      <c r="N849" s="1" t="s">
        <v>42</v>
      </c>
      <c r="O849" s="1">
        <v>2</v>
      </c>
      <c r="P849" s="3">
        <v>210.08</v>
      </c>
      <c r="Q849" s="4">
        <v>0.2</v>
      </c>
      <c r="R849" s="4">
        <v>0.2</v>
      </c>
      <c r="S849" s="3">
        <v>336.13</v>
      </c>
      <c r="T849" s="3">
        <v>242.19</v>
      </c>
      <c r="U849" s="3">
        <v>93.94</v>
      </c>
      <c r="V849" s="1" t="s">
        <v>43</v>
      </c>
      <c r="W849" s="1" t="s">
        <v>44</v>
      </c>
      <c r="X849" s="3">
        <f>IF(OR(O849="",P849="",R849=""),"",O849*P849*(1-R849))</f>
        <v>336.13</v>
      </c>
      <c r="Y849" s="3">
        <f>IF(OR(X849="",T849=""),"",X849-T849)</f>
        <v>93.94</v>
      </c>
      <c r="Z849" s="4">
        <f>IFERROR(Y849/X849,"")</f>
        <v>0.2795</v>
      </c>
      <c r="AA849" s="1">
        <f>IF(OR(C849="",D849=""),"",D849-C849)</f>
        <v>2</v>
      </c>
      <c r="AB849" s="1">
        <f>IF(C849="","",MONTH(C849))</f>
        <v>5</v>
      </c>
      <c r="AC849" s="1">
        <f>IF(C849="","",YEAR(C849))</f>
        <v>2025</v>
      </c>
      <c r="AD849" s="1" t="s">
        <v>45</v>
      </c>
      <c r="AE849" s="1" t="s">
        <v>46</v>
      </c>
      <c r="AF849" s="1" t="s">
        <v>47</v>
      </c>
    </row>
    <row r="850" spans="1:32" x14ac:dyDescent="0.25">
      <c r="A850" s="1">
        <v>850</v>
      </c>
      <c r="B850" s="1" t="s">
        <v>2691</v>
      </c>
      <c r="C850" s="2">
        <v>45803.77083333333</v>
      </c>
      <c r="D850" s="2">
        <v>45805.77083333333</v>
      </c>
      <c r="E850" s="1" t="s">
        <v>2692</v>
      </c>
      <c r="F850" s="1" t="s">
        <v>139</v>
      </c>
      <c r="G850" s="1" t="s">
        <v>114</v>
      </c>
      <c r="H850" s="1" t="s">
        <v>71</v>
      </c>
      <c r="I850" s="1" t="s">
        <v>277</v>
      </c>
      <c r="J850" s="1" t="s">
        <v>278</v>
      </c>
      <c r="K850" s="1" t="s">
        <v>55</v>
      </c>
      <c r="L850" s="1" t="s">
        <v>74</v>
      </c>
      <c r="M850" s="1" t="s">
        <v>2693</v>
      </c>
      <c r="N850" s="1" t="s">
        <v>42</v>
      </c>
      <c r="O850" s="1">
        <v>1</v>
      </c>
      <c r="P850" s="3">
        <v>1744.35</v>
      </c>
      <c r="Q850" s="4">
        <v>0.25</v>
      </c>
      <c r="R850" s="4">
        <v>0.25</v>
      </c>
      <c r="S850" s="3">
        <v>1308.26</v>
      </c>
      <c r="T850" s="3">
        <v>1083.56</v>
      </c>
      <c r="U850" s="3">
        <v>224.7</v>
      </c>
      <c r="V850" s="1" t="s">
        <v>43</v>
      </c>
      <c r="W850" s="1" t="s">
        <v>44</v>
      </c>
      <c r="X850" s="3">
        <f>IF(OR(O850="",P850="",R850=""),"",O850*P850*(1-R850))</f>
        <v>1308.26</v>
      </c>
      <c r="Y850" s="3">
        <f>IF(OR(X850="",T850=""),"",X850-T850)</f>
        <v>224.7</v>
      </c>
      <c r="Z850" s="4">
        <f>IFERROR(Y850/X850,"")</f>
        <v>0.1718</v>
      </c>
      <c r="AA850" s="1">
        <f>IF(OR(C850="",D850=""),"",D850-C850)</f>
        <v>2</v>
      </c>
      <c r="AB850" s="1">
        <f>IF(C850="","",MONTH(C850))</f>
        <v>5</v>
      </c>
      <c r="AC850" s="1">
        <f>IF(C850="","",YEAR(C850))</f>
        <v>2025</v>
      </c>
      <c r="AD850" s="1" t="s">
        <v>45</v>
      </c>
      <c r="AE850" s="1" t="s">
        <v>46</v>
      </c>
      <c r="AF850" s="1" t="s">
        <v>47</v>
      </c>
    </row>
    <row r="851" spans="1:32" s="10" customFormat="1" x14ac:dyDescent="0.25">
      <c r="A851" s="11">
        <v>851</v>
      </c>
      <c r="B851" s="11" t="s">
        <v>2694</v>
      </c>
      <c r="C851" s="12">
        <v>45356.77083333333</v>
      </c>
      <c r="D851" s="12">
        <v>45362.77083333333</v>
      </c>
      <c r="E851" s="11" t="s">
        <v>2695</v>
      </c>
      <c r="F851" s="11" t="s">
        <v>61</v>
      </c>
      <c r="G851" s="11" t="s">
        <v>114</v>
      </c>
      <c r="H851" s="11" t="s">
        <v>80</v>
      </c>
      <c r="I851" s="11" t="s">
        <v>206</v>
      </c>
      <c r="J851" s="11" t="s">
        <v>207</v>
      </c>
      <c r="K851" s="11" t="s">
        <v>55</v>
      </c>
      <c r="L851" s="11" t="s">
        <v>182</v>
      </c>
      <c r="M851" s="11" t="s">
        <v>2696</v>
      </c>
      <c r="N851" s="11" t="s">
        <v>76</v>
      </c>
      <c r="O851" s="11">
        <v>3</v>
      </c>
      <c r="P851" s="13">
        <v>679.63</v>
      </c>
      <c r="Q851" s="14">
        <v>0.2</v>
      </c>
      <c r="R851" s="14">
        <v>0.2</v>
      </c>
      <c r="S851" s="13">
        <v>1631.11</v>
      </c>
      <c r="T851" s="13">
        <v>898.73</v>
      </c>
      <c r="U851" s="13">
        <v>396.58</v>
      </c>
      <c r="V851" s="11" t="s">
        <v>43</v>
      </c>
      <c r="W851" s="11" t="s">
        <v>44</v>
      </c>
      <c r="X851" s="13">
        <f>IF(OR(O851="",P851="",R851=""),"",O851*P851*(1-R851))</f>
        <v>1631.11</v>
      </c>
      <c r="Y851" s="13">
        <f>IF(OR(X851="",T851=""),"",X851-T851)</f>
        <v>732.38</v>
      </c>
      <c r="Z851" s="14">
        <f>IFERROR(Y851/X851,"")</f>
        <v>0.449</v>
      </c>
      <c r="AA851" s="11">
        <f>IF(OR(C851="",D851=""),"",D851-C851)</f>
        <v>6</v>
      </c>
      <c r="AB851" s="11">
        <f>IF(C851="","",MONTH(C851))</f>
        <v>3</v>
      </c>
      <c r="AC851" s="11">
        <f>IF(C851="","",YEAR(C851))</f>
        <v>2024</v>
      </c>
      <c r="AD851" s="11" t="s">
        <v>65</v>
      </c>
      <c r="AE851" s="11" t="s">
        <v>66</v>
      </c>
      <c r="AF851" s="11" t="s">
        <v>332</v>
      </c>
    </row>
    <row r="852" spans="1:32" x14ac:dyDescent="0.25">
      <c r="A852" s="1">
        <v>852</v>
      </c>
      <c r="B852" s="1" t="s">
        <v>2697</v>
      </c>
      <c r="C852" s="2">
        <v>45472.77083333333</v>
      </c>
      <c r="D852" s="2">
        <v>45475.77083333333</v>
      </c>
      <c r="E852" s="1" t="s">
        <v>2698</v>
      </c>
      <c r="F852" s="1" t="s">
        <v>135</v>
      </c>
      <c r="G852" s="1" t="s">
        <v>114</v>
      </c>
      <c r="H852" s="1" t="s">
        <v>52</v>
      </c>
      <c r="I852" s="1" t="s">
        <v>118</v>
      </c>
      <c r="J852" s="1" t="s">
        <v>119</v>
      </c>
      <c r="K852" s="1" t="s">
        <v>39</v>
      </c>
      <c r="L852" s="1" t="s">
        <v>40</v>
      </c>
      <c r="M852" s="1" t="s">
        <v>2699</v>
      </c>
      <c r="N852" s="1" t="s">
        <v>64</v>
      </c>
      <c r="O852" s="1">
        <v>6</v>
      </c>
      <c r="P852" s="3">
        <v>1211.01</v>
      </c>
      <c r="Q852" s="4">
        <v>0</v>
      </c>
      <c r="R852" s="4">
        <v>0</v>
      </c>
      <c r="S852" s="3">
        <v>7266.06</v>
      </c>
      <c r="T852" s="3">
        <v>6216.89</v>
      </c>
      <c r="U852" s="3">
        <v>1049.17</v>
      </c>
      <c r="V852" s="1" t="s">
        <v>43</v>
      </c>
      <c r="W852" s="1" t="s">
        <v>44</v>
      </c>
      <c r="X852" s="3">
        <f>IF(OR(O852="",P852="",R852=""),"",O852*P852*(1-R852))</f>
        <v>7266.06</v>
      </c>
      <c r="Y852" s="3">
        <f>IF(OR(X852="",T852=""),"",X852-T852)</f>
        <v>1049.17</v>
      </c>
      <c r="Z852" s="4">
        <f>IFERROR(Y852/X852,"")</f>
        <v>0.1444</v>
      </c>
      <c r="AA852" s="1">
        <f>IF(OR(C852="",D852=""),"",D852-C852)</f>
        <v>3</v>
      </c>
      <c r="AB852" s="1">
        <f>IF(C852="","",MONTH(C852))</f>
        <v>6</v>
      </c>
      <c r="AC852" s="1">
        <f>IF(C852="","",YEAR(C852))</f>
        <v>2024</v>
      </c>
      <c r="AD852" s="1" t="s">
        <v>45</v>
      </c>
      <c r="AE852" s="1" t="s">
        <v>46</v>
      </c>
      <c r="AF852" s="1" t="s">
        <v>47</v>
      </c>
    </row>
    <row r="853" spans="1:32" x14ac:dyDescent="0.25">
      <c r="A853" s="1">
        <v>853</v>
      </c>
      <c r="B853" s="1" t="s">
        <v>2700</v>
      </c>
      <c r="C853" s="2">
        <v>45376.77083333333</v>
      </c>
      <c r="D853" s="2">
        <v>45382.77083333333</v>
      </c>
      <c r="E853" s="1" t="s">
        <v>2701</v>
      </c>
      <c r="F853" s="1" t="s">
        <v>34</v>
      </c>
      <c r="G853" s="1" t="s">
        <v>51</v>
      </c>
      <c r="H853" s="1" t="s">
        <v>80</v>
      </c>
      <c r="I853" s="1" t="s">
        <v>206</v>
      </c>
      <c r="J853" s="1" t="s">
        <v>207</v>
      </c>
      <c r="K853" s="1" t="s">
        <v>93</v>
      </c>
      <c r="L853" s="1" t="s">
        <v>94</v>
      </c>
      <c r="M853" s="1" t="s">
        <v>2702</v>
      </c>
      <c r="N853" s="1" t="s">
        <v>64</v>
      </c>
      <c r="O853" s="1">
        <v>2</v>
      </c>
      <c r="P853" s="3">
        <v>1161.3</v>
      </c>
      <c r="Q853" s="4">
        <v>0.2</v>
      </c>
      <c r="R853" s="4">
        <v>0.2</v>
      </c>
      <c r="S853" s="3">
        <v>1858.08</v>
      </c>
      <c r="T853" s="3">
        <v>1590.75</v>
      </c>
      <c r="U853" s="3">
        <v>267.33</v>
      </c>
      <c r="V853" s="1" t="s">
        <v>43</v>
      </c>
      <c r="W853" s="1" t="s">
        <v>44</v>
      </c>
      <c r="X853" s="3">
        <f>IF(OR(O853="",P853="",R853=""),"",O853*P853*(1-R853))</f>
        <v>1858.08</v>
      </c>
      <c r="Y853" s="3">
        <f>IF(OR(X853="",T853=""),"",X853-T853)</f>
        <v>267.33</v>
      </c>
      <c r="Z853" s="4">
        <f>IFERROR(Y853/X853,"")</f>
        <v>0.1439</v>
      </c>
      <c r="AA853" s="1">
        <f>IF(OR(C853="",D853=""),"",D853-C853)</f>
        <v>6</v>
      </c>
      <c r="AB853" s="1">
        <f>IF(C853="","",MONTH(C853))</f>
        <v>3</v>
      </c>
      <c r="AC853" s="1">
        <f>IF(C853="","",YEAR(C853))</f>
        <v>2024</v>
      </c>
      <c r="AD853" s="1" t="s">
        <v>45</v>
      </c>
      <c r="AE853" s="1" t="s">
        <v>46</v>
      </c>
      <c r="AF853" s="1" t="s">
        <v>47</v>
      </c>
    </row>
    <row r="854" spans="1:32" s="15" customFormat="1" x14ac:dyDescent="0.25">
      <c r="A854" s="16">
        <v>854</v>
      </c>
      <c r="B854" s="16" t="s">
        <v>2703</v>
      </c>
      <c r="C854" s="17">
        <v>45382.77083333333</v>
      </c>
      <c r="D854" s="17">
        <v>45389.77083333333</v>
      </c>
      <c r="E854" s="16" t="s">
        <v>2704</v>
      </c>
      <c r="F854" s="16" t="s">
        <v>79</v>
      </c>
      <c r="G854" s="16" t="s">
        <v>35</v>
      </c>
      <c r="H854" s="16" t="s">
        <v>52</v>
      </c>
      <c r="I854" s="16" t="s">
        <v>191</v>
      </c>
      <c r="J854" s="16" t="s">
        <v>192</v>
      </c>
      <c r="K854" s="16" t="s">
        <v>55</v>
      </c>
      <c r="L854" s="16" t="s">
        <v>56</v>
      </c>
      <c r="M854" s="16" t="s">
        <v>2705</v>
      </c>
      <c r="N854" s="16" t="s">
        <v>42</v>
      </c>
      <c r="O854" s="16">
        <v>7</v>
      </c>
      <c r="P854" s="18">
        <v>4205.35</v>
      </c>
      <c r="Q854" s="19">
        <v>0.15</v>
      </c>
      <c r="R854" s="19">
        <v>0.15</v>
      </c>
      <c r="S854" s="18">
        <v>25021.83</v>
      </c>
      <c r="T854" s="18">
        <v>15544.44</v>
      </c>
      <c r="U854" s="18">
        <v>9477.39</v>
      </c>
      <c r="V854" s="16" t="s">
        <v>131</v>
      </c>
      <c r="W854" s="16" t="s">
        <v>85</v>
      </c>
      <c r="X854" s="18">
        <f>IF(OR(O854="",P854="",R854=""),"",O854*P854*(1-R854))</f>
        <v>25021.83</v>
      </c>
      <c r="Y854" s="18">
        <f>IF(OR(X854="",T854=""),"",X854-T854)</f>
        <v>9477.39</v>
      </c>
      <c r="Z854" s="19">
        <f>IFERROR(Y854/X854,"")</f>
        <v>0.3788</v>
      </c>
      <c r="AA854" s="16">
        <f>IF(OR(C854="",D854=""),"",D854-C854)</f>
        <v>7</v>
      </c>
      <c r="AB854" s="16">
        <f>IF(C854="","",MONTH(C854))</f>
        <v>4</v>
      </c>
      <c r="AC854" s="16">
        <f>IF(C854="","",YEAR(C854))</f>
        <v>2024</v>
      </c>
      <c r="AD854" s="16" t="s">
        <v>86</v>
      </c>
      <c r="AE854" s="16" t="s">
        <v>66</v>
      </c>
      <c r="AF854" s="16" t="s">
        <v>255</v>
      </c>
    </row>
    <row r="855" spans="1:32" x14ac:dyDescent="0.25">
      <c r="A855" s="1">
        <v>855</v>
      </c>
      <c r="B855" s="1" t="s">
        <v>2706</v>
      </c>
      <c r="C855" s="2">
        <v>45792.77083333333</v>
      </c>
      <c r="D855" s="2">
        <v>45798.77083333333</v>
      </c>
      <c r="E855" s="1" t="s">
        <v>2707</v>
      </c>
      <c r="F855" s="1" t="s">
        <v>70</v>
      </c>
      <c r="G855" s="1" t="s">
        <v>109</v>
      </c>
      <c r="H855" s="1" t="s">
        <v>71</v>
      </c>
      <c r="I855" s="1" t="s">
        <v>277</v>
      </c>
      <c r="J855" s="1" t="s">
        <v>278</v>
      </c>
      <c r="K855" s="1" t="s">
        <v>93</v>
      </c>
      <c r="L855" s="1" t="s">
        <v>94</v>
      </c>
      <c r="M855" s="1" t="s">
        <v>2708</v>
      </c>
      <c r="N855" s="1" t="s">
        <v>58</v>
      </c>
      <c r="O855" s="1">
        <v>8</v>
      </c>
      <c r="P855" s="3">
        <v>579.8</v>
      </c>
      <c r="Q855" s="4">
        <v>0.2</v>
      </c>
      <c r="R855" s="4">
        <v>0.2</v>
      </c>
      <c r="S855" s="3">
        <v>3710.72</v>
      </c>
      <c r="T855" s="3">
        <v>3115.29</v>
      </c>
      <c r="U855" s="3">
        <v>595.43</v>
      </c>
      <c r="V855" s="1" t="s">
        <v>43</v>
      </c>
      <c r="W855" s="1" t="s">
        <v>44</v>
      </c>
      <c r="X855" s="3">
        <f>IF(OR(O855="",P855="",R855=""),"",O855*P855*(1-R855))</f>
        <v>3710.72</v>
      </c>
      <c r="Y855" s="3">
        <f>IF(OR(X855="",T855=""),"",X855-T855)</f>
        <v>595.43</v>
      </c>
      <c r="Z855" s="4">
        <f>IFERROR(Y855/X855,"")</f>
        <v>0.1605</v>
      </c>
      <c r="AA855" s="1">
        <f>IF(OR(C855="",D855=""),"",D855-C855)</f>
        <v>6</v>
      </c>
      <c r="AB855" s="1">
        <f>IF(C855="","",MONTH(C855))</f>
        <v>5</v>
      </c>
      <c r="AC855" s="1">
        <f>IF(C855="","",YEAR(C855))</f>
        <v>2025</v>
      </c>
      <c r="AD855" s="1" t="s">
        <v>45</v>
      </c>
      <c r="AE855" s="1" t="s">
        <v>46</v>
      </c>
      <c r="AF855" s="1" t="s">
        <v>47</v>
      </c>
    </row>
    <row r="856" spans="1:32" x14ac:dyDescent="0.25">
      <c r="A856" s="1">
        <v>856</v>
      </c>
      <c r="B856" s="1" t="s">
        <v>2709</v>
      </c>
      <c r="C856" s="2">
        <v>45740.77083333333</v>
      </c>
      <c r="D856" s="2">
        <v>45748.77083333333</v>
      </c>
      <c r="E856" s="1" t="s">
        <v>2710</v>
      </c>
      <c r="F856" s="1" t="s">
        <v>135</v>
      </c>
      <c r="G856" s="1" t="s">
        <v>35</v>
      </c>
      <c r="H856" s="1" t="s">
        <v>71</v>
      </c>
      <c r="I856" s="1" t="s">
        <v>201</v>
      </c>
      <c r="J856" s="1" t="s">
        <v>202</v>
      </c>
      <c r="K856" s="1" t="s">
        <v>55</v>
      </c>
      <c r="L856" s="1" t="s">
        <v>182</v>
      </c>
      <c r="M856" s="1" t="s">
        <v>2711</v>
      </c>
      <c r="N856" s="1" t="s">
        <v>42</v>
      </c>
      <c r="O856" s="1">
        <v>4</v>
      </c>
      <c r="P856" s="3">
        <v>2233.64</v>
      </c>
      <c r="Q856" s="4">
        <v>0.05</v>
      </c>
      <c r="R856" s="4">
        <v>0.05</v>
      </c>
      <c r="S856" s="3">
        <v>8487.83</v>
      </c>
      <c r="T856" s="3">
        <v>5245.72</v>
      </c>
      <c r="U856" s="3">
        <v>3242.11</v>
      </c>
      <c r="V856" s="1" t="s">
        <v>43</v>
      </c>
      <c r="W856" s="1" t="s">
        <v>44</v>
      </c>
      <c r="X856" s="3">
        <f>IF(OR(O856="",P856="",R856=""),"",O856*P856*(1-R856))</f>
        <v>8487.83</v>
      </c>
      <c r="Y856" s="3">
        <f>IF(OR(X856="",T856=""),"",X856-T856)</f>
        <v>3242.11</v>
      </c>
      <c r="Z856" s="4">
        <f>IFERROR(Y856/X856,"")</f>
        <v>0.382</v>
      </c>
      <c r="AA856" s="1">
        <f>IF(OR(C856="",D856=""),"",D856-C856)</f>
        <v>8</v>
      </c>
      <c r="AB856" s="1">
        <f>IF(C856="","",MONTH(C856))</f>
        <v>3</v>
      </c>
      <c r="AC856" s="1">
        <f>IF(C856="","",YEAR(C856))</f>
        <v>2025</v>
      </c>
      <c r="AD856" s="1" t="s">
        <v>45</v>
      </c>
      <c r="AE856" s="1" t="s">
        <v>46</v>
      </c>
      <c r="AF856" s="1" t="s">
        <v>47</v>
      </c>
    </row>
    <row r="857" spans="1:32" x14ac:dyDescent="0.25">
      <c r="A857" s="1">
        <v>857</v>
      </c>
      <c r="B857" s="1" t="s">
        <v>2712</v>
      </c>
      <c r="C857" s="2">
        <v>45497.77083333333</v>
      </c>
      <c r="D857" s="2">
        <v>45505.77083333333</v>
      </c>
      <c r="E857" s="1" t="s">
        <v>1177</v>
      </c>
      <c r="F857" s="1" t="s">
        <v>139</v>
      </c>
      <c r="G857" s="1" t="s">
        <v>35</v>
      </c>
      <c r="H857" s="1" t="s">
        <v>36</v>
      </c>
      <c r="I857" s="1" t="s">
        <v>37</v>
      </c>
      <c r="J857" s="1" t="s">
        <v>38</v>
      </c>
      <c r="K857" s="1" t="s">
        <v>39</v>
      </c>
      <c r="L857" s="1" t="s">
        <v>110</v>
      </c>
      <c r="M857" s="1" t="s">
        <v>2713</v>
      </c>
      <c r="N857" s="1" t="s">
        <v>42</v>
      </c>
      <c r="O857" s="1">
        <v>2</v>
      </c>
      <c r="P857" s="3">
        <v>2073.53</v>
      </c>
      <c r="Q857" s="4">
        <v>0.25</v>
      </c>
      <c r="R857" s="4">
        <v>0.25</v>
      </c>
      <c r="S857" s="3">
        <v>3110.3</v>
      </c>
      <c r="T857" s="3">
        <v>2101.03</v>
      </c>
      <c r="U857" s="3">
        <v>1009.27</v>
      </c>
      <c r="V857" s="1" t="s">
        <v>43</v>
      </c>
      <c r="W857" s="1" t="s">
        <v>44</v>
      </c>
      <c r="X857" s="3">
        <f>IF(OR(O857="",P857="",R857=""),"",O857*P857*(1-R857))</f>
        <v>3110.3</v>
      </c>
      <c r="Y857" s="3">
        <f>IF(OR(X857="",T857=""),"",X857-T857)</f>
        <v>1009.27</v>
      </c>
      <c r="Z857" s="4">
        <f>IFERROR(Y857/X857,"")</f>
        <v>0.3245</v>
      </c>
      <c r="AA857" s="1">
        <f>IF(OR(C857="",D857=""),"",D857-C857)</f>
        <v>8</v>
      </c>
      <c r="AB857" s="1">
        <f>IF(C857="","",MONTH(C857))</f>
        <v>7</v>
      </c>
      <c r="AC857" s="1">
        <f>IF(C857="","",YEAR(C857))</f>
        <v>2024</v>
      </c>
      <c r="AD857" s="1" t="s">
        <v>45</v>
      </c>
      <c r="AE857" s="1" t="s">
        <v>46</v>
      </c>
      <c r="AF857" s="1" t="s">
        <v>47</v>
      </c>
    </row>
    <row r="858" spans="1:32" s="10" customFormat="1" x14ac:dyDescent="0.25">
      <c r="A858" s="11">
        <v>858</v>
      </c>
      <c r="B858" s="11" t="s">
        <v>2714</v>
      </c>
      <c r="C858" s="12">
        <v>45454.77083333333</v>
      </c>
      <c r="D858" s="12">
        <v>45461.77083333333</v>
      </c>
      <c r="E858" s="11" t="s">
        <v>1358</v>
      </c>
      <c r="F858" s="11" t="s">
        <v>163</v>
      </c>
      <c r="G858" s="11" t="s">
        <v>114</v>
      </c>
      <c r="H858" s="11" t="s">
        <v>71</v>
      </c>
      <c r="I858" s="11" t="s">
        <v>277</v>
      </c>
      <c r="J858" s="11" t="s">
        <v>278</v>
      </c>
      <c r="K858" s="11" t="s">
        <v>39</v>
      </c>
      <c r="L858" s="11" t="s">
        <v>145</v>
      </c>
      <c r="M858" s="11" t="s">
        <v>2715</v>
      </c>
      <c r="N858" s="11" t="s">
        <v>76</v>
      </c>
      <c r="O858" s="11">
        <v>4</v>
      </c>
      <c r="P858" s="13">
        <v>395.1</v>
      </c>
      <c r="Q858" s="14">
        <v>-0.16</v>
      </c>
      <c r="R858" s="14">
        <v>-0.16</v>
      </c>
      <c r="S858" s="13">
        <v>1185.3</v>
      </c>
      <c r="T858" s="13">
        <v>966.55</v>
      </c>
      <c r="U858" s="13">
        <v>218.75</v>
      </c>
      <c r="V858" s="11" t="s">
        <v>178</v>
      </c>
      <c r="W858" s="11" t="s">
        <v>85</v>
      </c>
      <c r="X858" s="13">
        <f>IF(OR(O858="",P858="",R858=""),"",O858*P858*(1-R858))</f>
        <v>1833.26</v>
      </c>
      <c r="Y858" s="13">
        <f>IF(OR(X858="",T858=""),"",X858-T858)</f>
        <v>866.71</v>
      </c>
      <c r="Z858" s="14">
        <f>IFERROR(Y858/X858,"")</f>
        <v>0.4728</v>
      </c>
      <c r="AA858" s="11">
        <f>IF(OR(C858="",D858=""),"",D858-C858)</f>
        <v>7</v>
      </c>
      <c r="AB858" s="11">
        <f>IF(C858="","",MONTH(C858))</f>
        <v>6</v>
      </c>
      <c r="AC858" s="11">
        <f>IF(C858="","",YEAR(C858))</f>
        <v>2024</v>
      </c>
      <c r="AD858" s="11" t="s">
        <v>65</v>
      </c>
      <c r="AE858" s="11" t="s">
        <v>66</v>
      </c>
      <c r="AF858" s="11" t="s">
        <v>1645</v>
      </c>
    </row>
    <row r="859" spans="1:32" x14ac:dyDescent="0.25">
      <c r="A859" s="1">
        <v>859</v>
      </c>
      <c r="B859" s="1" t="s">
        <v>2716</v>
      </c>
      <c r="C859" s="2">
        <v>45446.77083333333</v>
      </c>
      <c r="D859" s="2">
        <v>45446.77083333333</v>
      </c>
      <c r="E859" s="1" t="s">
        <v>2213</v>
      </c>
      <c r="F859" s="1" t="s">
        <v>153</v>
      </c>
      <c r="G859" s="1" t="s">
        <v>114</v>
      </c>
      <c r="H859" s="1" t="s">
        <v>71</v>
      </c>
      <c r="I859" s="1" t="s">
        <v>211</v>
      </c>
      <c r="J859" s="1" t="s">
        <v>212</v>
      </c>
      <c r="K859" s="1" t="s">
        <v>39</v>
      </c>
      <c r="L859" s="1" t="s">
        <v>145</v>
      </c>
      <c r="M859" s="1" t="s">
        <v>2717</v>
      </c>
      <c r="N859" s="1" t="s">
        <v>64</v>
      </c>
      <c r="O859" s="1">
        <v>6</v>
      </c>
      <c r="P859" s="3">
        <v>2708.97</v>
      </c>
      <c r="Q859" s="4">
        <v>0.25</v>
      </c>
      <c r="R859" s="4">
        <v>0.25</v>
      </c>
      <c r="S859" s="3">
        <v>12190.36</v>
      </c>
      <c r="T859" s="3">
        <v>10176.99</v>
      </c>
      <c r="U859" s="3">
        <v>2013.37</v>
      </c>
      <c r="V859" s="1" t="s">
        <v>43</v>
      </c>
      <c r="W859" s="1" t="s">
        <v>44</v>
      </c>
      <c r="X859" s="3">
        <f>IF(OR(O859="",P859="",R859=""),"",O859*P859*(1-R859))</f>
        <v>12190.37</v>
      </c>
      <c r="Y859" s="3">
        <f>IF(OR(X859="",T859=""),"",X859-T859)</f>
        <v>2013.38</v>
      </c>
      <c r="Z859" s="4">
        <f>IFERROR(Y859/X859,"")</f>
        <v>0.1652</v>
      </c>
      <c r="AA859" s="1">
        <f>IF(OR(C859="",D859=""),"",D859-C859)</f>
        <v>0</v>
      </c>
      <c r="AB859" s="1">
        <f>IF(C859="","",MONTH(C859))</f>
        <v>6</v>
      </c>
      <c r="AC859" s="1">
        <f>IF(C859="","",YEAR(C859))</f>
        <v>2024</v>
      </c>
      <c r="AD859" s="1" t="s">
        <v>45</v>
      </c>
      <c r="AE859" s="1" t="s">
        <v>46</v>
      </c>
      <c r="AF859" s="1" t="s">
        <v>47</v>
      </c>
    </row>
    <row r="860" spans="1:32" s="10" customFormat="1" x14ac:dyDescent="0.25">
      <c r="A860" s="11">
        <v>860</v>
      </c>
      <c r="B860" s="11" t="s">
        <v>2718</v>
      </c>
      <c r="C860" s="12">
        <v>45413.77083333333</v>
      </c>
      <c r="D860" s="12">
        <v>45420.77083333333</v>
      </c>
      <c r="E860" s="11" t="s">
        <v>2719</v>
      </c>
      <c r="F860" s="11" t="s">
        <v>70</v>
      </c>
      <c r="G860" s="11" t="s">
        <v>35</v>
      </c>
      <c r="H860" s="11" t="s">
        <v>52</v>
      </c>
      <c r="I860" s="11" t="s">
        <v>53</v>
      </c>
      <c r="J860" s="11" t="s">
        <v>54</v>
      </c>
      <c r="K860" s="11" t="s">
        <v>93</v>
      </c>
      <c r="L860" s="11" t="s">
        <v>94</v>
      </c>
      <c r="M860" s="11" t="s">
        <v>2720</v>
      </c>
      <c r="N860" s="11" t="s">
        <v>42</v>
      </c>
      <c r="O860" s="11">
        <v>4</v>
      </c>
      <c r="P860" s="13">
        <v>2904.86</v>
      </c>
      <c r="Q860" s="14">
        <v>0</v>
      </c>
      <c r="R860" s="14">
        <v>0</v>
      </c>
      <c r="S860" s="13">
        <v>11619.44</v>
      </c>
      <c r="T860" s="13">
        <v>7184.32</v>
      </c>
      <c r="U860" s="13">
        <v>4494.64</v>
      </c>
      <c r="V860" s="11" t="s">
        <v>43</v>
      </c>
      <c r="W860" s="11" t="s">
        <v>44</v>
      </c>
      <c r="X860" s="13">
        <f>IF(OR(O860="",P860="",R860=""),"",O860*P860*(1-R860))</f>
        <v>11619.44</v>
      </c>
      <c r="Y860" s="13">
        <f>IF(OR(X860="",T860=""),"",X860-T860)</f>
        <v>4435.12</v>
      </c>
      <c r="Z860" s="14">
        <f>IFERROR(Y860/X860,"")</f>
        <v>0.3817</v>
      </c>
      <c r="AA860" s="11">
        <f>IF(OR(C860="",D860=""),"",D860-C860)</f>
        <v>7</v>
      </c>
      <c r="AB860" s="11">
        <f>IF(C860="","",MONTH(C860))</f>
        <v>5</v>
      </c>
      <c r="AC860" s="11">
        <f>IF(C860="","",YEAR(C860))</f>
        <v>2024</v>
      </c>
      <c r="AD860" s="11" t="s">
        <v>65</v>
      </c>
      <c r="AE860" s="11" t="s">
        <v>66</v>
      </c>
      <c r="AF860" s="11" t="s">
        <v>332</v>
      </c>
    </row>
    <row r="861" spans="1:32" x14ac:dyDescent="0.25">
      <c r="A861" s="1">
        <v>861</v>
      </c>
      <c r="B861" s="1" t="s">
        <v>2721</v>
      </c>
      <c r="C861" s="2">
        <v>45591.77083333333</v>
      </c>
      <c r="D861" s="2">
        <v>45596.77083333333</v>
      </c>
      <c r="E861" s="1" t="s">
        <v>2722</v>
      </c>
      <c r="F861" s="1" t="s">
        <v>108</v>
      </c>
      <c r="G861" s="1" t="s">
        <v>109</v>
      </c>
      <c r="H861" s="1" t="s">
        <v>71</v>
      </c>
      <c r="I861" s="1" t="s">
        <v>277</v>
      </c>
      <c r="J861" s="1" t="s">
        <v>278</v>
      </c>
      <c r="K861" s="1" t="s">
        <v>93</v>
      </c>
      <c r="L861" s="1" t="s">
        <v>196</v>
      </c>
      <c r="M861" s="1" t="s">
        <v>2723</v>
      </c>
      <c r="N861" s="1" t="s">
        <v>76</v>
      </c>
      <c r="O861" s="1">
        <v>6</v>
      </c>
      <c r="P861" s="3">
        <v>4399.2</v>
      </c>
      <c r="Q861" s="4">
        <v>0.05</v>
      </c>
      <c r="R861" s="4">
        <v>0.05</v>
      </c>
      <c r="S861" s="3">
        <v>25075.44</v>
      </c>
      <c r="T861" s="3">
        <v>16282.74</v>
      </c>
      <c r="U861" s="3">
        <v>8792.7</v>
      </c>
      <c r="V861" s="1" t="s">
        <v>43</v>
      </c>
      <c r="W861" s="1" t="s">
        <v>44</v>
      </c>
      <c r="X861" s="3">
        <f>IF(OR(O861="",P861="",R861=""),"",O861*P861*(1-R861))</f>
        <v>25075.44</v>
      </c>
      <c r="Y861" s="3">
        <f>IF(OR(X861="",T861=""),"",X861-T861)</f>
        <v>8792.7</v>
      </c>
      <c r="Z861" s="4">
        <f>IFERROR(Y861/X861,"")</f>
        <v>0.3506</v>
      </c>
      <c r="AA861" s="1">
        <f>IF(OR(C861="",D861=""),"",D861-C861)</f>
        <v>5</v>
      </c>
      <c r="AB861" s="1">
        <f>IF(C861="","",MONTH(C861))</f>
        <v>10</v>
      </c>
      <c r="AC861" s="1">
        <f>IF(C861="","",YEAR(C861))</f>
        <v>2024</v>
      </c>
      <c r="AD861" s="1" t="s">
        <v>45</v>
      </c>
      <c r="AE861" s="1" t="s">
        <v>46</v>
      </c>
      <c r="AF861" s="1" t="s">
        <v>47</v>
      </c>
    </row>
    <row r="862" spans="1:32" x14ac:dyDescent="0.25">
      <c r="A862" s="1">
        <v>862</v>
      </c>
      <c r="B862" s="1" t="s">
        <v>2724</v>
      </c>
      <c r="C862" s="2">
        <v>45323.77083333333</v>
      </c>
      <c r="D862" s="2">
        <v>45325.77083333333</v>
      </c>
      <c r="E862" s="1" t="s">
        <v>2725</v>
      </c>
      <c r="F862" s="1" t="s">
        <v>90</v>
      </c>
      <c r="G862" s="1" t="s">
        <v>114</v>
      </c>
      <c r="H862" s="1" t="s">
        <v>36</v>
      </c>
      <c r="I862" s="1" t="s">
        <v>157</v>
      </c>
      <c r="J862" s="1" t="s">
        <v>158</v>
      </c>
      <c r="K862" s="1" t="s">
        <v>39</v>
      </c>
      <c r="L862" s="1" t="s">
        <v>145</v>
      </c>
      <c r="M862" s="1" t="s">
        <v>2726</v>
      </c>
      <c r="N862" s="1" t="s">
        <v>42</v>
      </c>
      <c r="O862" s="1">
        <v>1</v>
      </c>
      <c r="P862" s="3">
        <v>4397.32</v>
      </c>
      <c r="Q862" s="4">
        <v>0.05</v>
      </c>
      <c r="R862" s="4">
        <v>0.05</v>
      </c>
      <c r="S862" s="3">
        <v>4177.45</v>
      </c>
      <c r="T862" s="3">
        <v>2299.5</v>
      </c>
      <c r="U862" s="3">
        <v>1877.95</v>
      </c>
      <c r="V862" s="1" t="s">
        <v>43</v>
      </c>
      <c r="W862" s="1" t="s">
        <v>44</v>
      </c>
      <c r="X862" s="3">
        <f>IF(OR(O862="",P862="",R862=""),"",O862*P862*(1-R862))</f>
        <v>4177.45</v>
      </c>
      <c r="Y862" s="3">
        <f>IF(OR(X862="",T862=""),"",X862-T862)</f>
        <v>1877.95</v>
      </c>
      <c r="Z862" s="4">
        <f>IFERROR(Y862/X862,"")</f>
        <v>0.4495</v>
      </c>
      <c r="AA862" s="1">
        <f>IF(OR(C862="",D862=""),"",D862-C862)</f>
        <v>2</v>
      </c>
      <c r="AB862" s="1">
        <f>IF(C862="","",MONTH(C862))</f>
        <v>2</v>
      </c>
      <c r="AC862" s="1">
        <f>IF(C862="","",YEAR(C862))</f>
        <v>2024</v>
      </c>
      <c r="AD862" s="1" t="s">
        <v>45</v>
      </c>
      <c r="AE862" s="1" t="s">
        <v>46</v>
      </c>
      <c r="AF862" s="1" t="s">
        <v>47</v>
      </c>
    </row>
    <row r="863" spans="1:32" x14ac:dyDescent="0.25">
      <c r="A863" s="1">
        <v>863</v>
      </c>
      <c r="B863" s="1" t="s">
        <v>2727</v>
      </c>
      <c r="C863" s="2">
        <v>45723.77083333333</v>
      </c>
      <c r="D863" s="2">
        <v>45724.77083333333</v>
      </c>
      <c r="E863" s="1" t="s">
        <v>2728</v>
      </c>
      <c r="F863" s="1" t="s">
        <v>135</v>
      </c>
      <c r="G863" s="1" t="s">
        <v>114</v>
      </c>
      <c r="H863" s="1" t="s">
        <v>36</v>
      </c>
      <c r="I863" s="1" t="s">
        <v>384</v>
      </c>
      <c r="J863" s="1" t="s">
        <v>385</v>
      </c>
      <c r="K863" s="1" t="s">
        <v>55</v>
      </c>
      <c r="L863" s="1" t="s">
        <v>74</v>
      </c>
      <c r="M863" s="1" t="s">
        <v>2729</v>
      </c>
      <c r="N863" s="1" t="s">
        <v>58</v>
      </c>
      <c r="O863" s="1">
        <v>4</v>
      </c>
      <c r="P863" s="3">
        <v>3405.68</v>
      </c>
      <c r="Q863" s="4">
        <v>0.2</v>
      </c>
      <c r="R863" s="4">
        <v>0.2</v>
      </c>
      <c r="S863" s="3">
        <v>10898.18</v>
      </c>
      <c r="T863" s="3">
        <v>6231.41</v>
      </c>
      <c r="U863" s="3">
        <v>4666.77</v>
      </c>
      <c r="V863" s="1" t="s">
        <v>43</v>
      </c>
      <c r="W863" s="1" t="s">
        <v>44</v>
      </c>
      <c r="X863" s="3">
        <f>IF(OR(O863="",P863="",R863=""),"",O863*P863*(1-R863))</f>
        <v>10898.18</v>
      </c>
      <c r="Y863" s="3">
        <f>IF(OR(X863="",T863=""),"",X863-T863)</f>
        <v>4666.77</v>
      </c>
      <c r="Z863" s="4">
        <f>IFERROR(Y863/X863,"")</f>
        <v>0.4282</v>
      </c>
      <c r="AA863" s="1">
        <f>IF(OR(C863="",D863=""),"",D863-C863)</f>
        <v>1</v>
      </c>
      <c r="AB863" s="1">
        <f>IF(C863="","",MONTH(C863))</f>
        <v>3</v>
      </c>
      <c r="AC863" s="1">
        <f>IF(C863="","",YEAR(C863))</f>
        <v>2025</v>
      </c>
      <c r="AD863" s="1" t="s">
        <v>45</v>
      </c>
      <c r="AE863" s="1" t="s">
        <v>46</v>
      </c>
      <c r="AF863" s="1" t="s">
        <v>47</v>
      </c>
    </row>
    <row r="864" spans="1:32" s="15" customFormat="1" x14ac:dyDescent="0.25">
      <c r="A864" s="16">
        <v>864</v>
      </c>
      <c r="B864" s="16" t="s">
        <v>2730</v>
      </c>
      <c r="C864" s="17">
        <v>45741.77083333333</v>
      </c>
      <c r="D864" s="17">
        <v>45746.77083333333</v>
      </c>
      <c r="E864" s="16" t="s">
        <v>2731</v>
      </c>
      <c r="F864" s="16" t="s">
        <v>135</v>
      </c>
      <c r="G864" s="16" t="s">
        <v>51</v>
      </c>
      <c r="H864" s="16" t="s">
        <v>52</v>
      </c>
      <c r="I864" s="16" t="s">
        <v>258</v>
      </c>
      <c r="J864" s="16" t="s">
        <v>259</v>
      </c>
      <c r="K864" s="16" t="s">
        <v>39</v>
      </c>
      <c r="L864" s="16" t="s">
        <v>176</v>
      </c>
      <c r="M864" s="16" t="s">
        <v>2732</v>
      </c>
      <c r="N864" s="16" t="s">
        <v>64</v>
      </c>
      <c r="O864" s="16">
        <v>5</v>
      </c>
      <c r="P864" s="18">
        <v>1395.14</v>
      </c>
      <c r="Q864" s="19">
        <v>0</v>
      </c>
      <c r="R864" s="19">
        <v>0</v>
      </c>
      <c r="S864" s="18">
        <v>6975.7</v>
      </c>
      <c r="T864" s="18">
        <v>4797.88</v>
      </c>
      <c r="U864" s="18">
        <v>2177.82</v>
      </c>
      <c r="V864" s="16" t="s">
        <v>43</v>
      </c>
      <c r="W864" s="16" t="s">
        <v>85</v>
      </c>
      <c r="X864" s="18">
        <f>IF(OR(O864="",P864="",R864=""),"",O864*P864*(1-R864))</f>
        <v>6975.7</v>
      </c>
      <c r="Y864" s="18">
        <f>IF(OR(X864="",T864=""),"",X864-T864)</f>
        <v>2177.82</v>
      </c>
      <c r="Z864" s="19">
        <f>IFERROR(Y864/X864,"")</f>
        <v>0.3122</v>
      </c>
      <c r="AA864" s="16">
        <f>IF(OR(C864="",D864=""),"",D864-C864)</f>
        <v>5</v>
      </c>
      <c r="AB864" s="16">
        <f>IF(C864="","",MONTH(C864))</f>
        <v>3</v>
      </c>
      <c r="AC864" s="16">
        <f>IF(C864="","",YEAR(C864))</f>
        <v>2025</v>
      </c>
      <c r="AD864" s="16" t="s">
        <v>86</v>
      </c>
      <c r="AE864" s="16" t="s">
        <v>66</v>
      </c>
      <c r="AF864" s="16" t="s">
        <v>87</v>
      </c>
    </row>
    <row r="865" spans="1:32" x14ac:dyDescent="0.25">
      <c r="A865" s="1">
        <v>865</v>
      </c>
      <c r="B865" s="1" t="s">
        <v>2733</v>
      </c>
      <c r="C865" s="2">
        <v>45905.77083333333</v>
      </c>
      <c r="D865" s="2">
        <v>45907.77083333333</v>
      </c>
      <c r="E865" s="1" t="s">
        <v>2734</v>
      </c>
      <c r="F865" s="1" t="s">
        <v>149</v>
      </c>
      <c r="G865" s="1" t="s">
        <v>114</v>
      </c>
      <c r="H865" s="1" t="s">
        <v>80</v>
      </c>
      <c r="I865" s="1" t="s">
        <v>91</v>
      </c>
      <c r="J865" s="1" t="s">
        <v>92</v>
      </c>
      <c r="K865" s="1" t="s">
        <v>55</v>
      </c>
      <c r="L865" s="1" t="s">
        <v>74</v>
      </c>
      <c r="M865" s="1" t="s">
        <v>2735</v>
      </c>
      <c r="N865" s="1" t="s">
        <v>58</v>
      </c>
      <c r="O865" s="1">
        <v>3</v>
      </c>
      <c r="P865" s="3">
        <v>2937.23</v>
      </c>
      <c r="Q865" s="4">
        <v>0</v>
      </c>
      <c r="R865" s="4">
        <v>0</v>
      </c>
      <c r="S865" s="3">
        <v>8811.69</v>
      </c>
      <c r="T865" s="3">
        <v>6765.91</v>
      </c>
      <c r="U865" s="3">
        <v>2045.78</v>
      </c>
      <c r="V865" s="1" t="s">
        <v>43</v>
      </c>
      <c r="W865" s="1" t="s">
        <v>44</v>
      </c>
      <c r="X865" s="3">
        <f>IF(OR(O865="",P865="",R865=""),"",O865*P865*(1-R865))</f>
        <v>8811.69</v>
      </c>
      <c r="Y865" s="3">
        <f>IF(OR(X865="",T865=""),"",X865-T865)</f>
        <v>2045.78</v>
      </c>
      <c r="Z865" s="4">
        <f>IFERROR(Y865/X865,"")</f>
        <v>0.2322</v>
      </c>
      <c r="AA865" s="1">
        <f>IF(OR(C865="",D865=""),"",D865-C865)</f>
        <v>2</v>
      </c>
      <c r="AB865" s="1">
        <f>IF(C865="","",MONTH(C865))</f>
        <v>9</v>
      </c>
      <c r="AC865" s="1">
        <f>IF(C865="","",YEAR(C865))</f>
        <v>2025</v>
      </c>
      <c r="AD865" s="1" t="s">
        <v>45</v>
      </c>
      <c r="AE865" s="1" t="s">
        <v>46</v>
      </c>
      <c r="AF865" s="1" t="s">
        <v>47</v>
      </c>
    </row>
    <row r="866" spans="1:32" x14ac:dyDescent="0.25">
      <c r="A866" s="1">
        <v>866</v>
      </c>
      <c r="B866" s="1" t="s">
        <v>2736</v>
      </c>
      <c r="C866" s="2">
        <v>45901.77083333333</v>
      </c>
      <c r="D866" s="2">
        <v>45904.77083333333</v>
      </c>
      <c r="E866" s="1" t="s">
        <v>2737</v>
      </c>
      <c r="F866" s="1" t="s">
        <v>90</v>
      </c>
      <c r="G866" s="1" t="s">
        <v>35</v>
      </c>
      <c r="H866" s="1" t="s">
        <v>71</v>
      </c>
      <c r="I866" s="1" t="s">
        <v>277</v>
      </c>
      <c r="J866" s="1" t="s">
        <v>278</v>
      </c>
      <c r="K866" s="1" t="s">
        <v>93</v>
      </c>
      <c r="L866" s="1" t="s">
        <v>196</v>
      </c>
      <c r="M866" s="1" t="s">
        <v>2738</v>
      </c>
      <c r="N866" s="1" t="s">
        <v>64</v>
      </c>
      <c r="O866" s="1">
        <v>5</v>
      </c>
      <c r="P866" s="3">
        <v>3406.87</v>
      </c>
      <c r="Q866" s="4">
        <v>0</v>
      </c>
      <c r="R866" s="4">
        <v>0</v>
      </c>
      <c r="S866" s="3">
        <v>17034.35</v>
      </c>
      <c r="T866" s="3">
        <v>14631.36</v>
      </c>
      <c r="U866" s="3">
        <v>2402.99</v>
      </c>
      <c r="V866" s="1" t="s">
        <v>43</v>
      </c>
      <c r="W866" s="1" t="s">
        <v>44</v>
      </c>
      <c r="X866" s="3">
        <f>IF(OR(O866="",P866="",R866=""),"",O866*P866*(1-R866))</f>
        <v>17034.35</v>
      </c>
      <c r="Y866" s="3">
        <f>IF(OR(X866="",T866=""),"",X866-T866)</f>
        <v>2402.99</v>
      </c>
      <c r="Z866" s="4">
        <f>IFERROR(Y866/X866,"")</f>
        <v>0.1411</v>
      </c>
      <c r="AA866" s="1">
        <f>IF(OR(C866="",D866=""),"",D866-C866)</f>
        <v>3</v>
      </c>
      <c r="AB866" s="1">
        <f>IF(C866="","",MONTH(C866))</f>
        <v>9</v>
      </c>
      <c r="AC866" s="1">
        <f>IF(C866="","",YEAR(C866))</f>
        <v>2025</v>
      </c>
      <c r="AD866" s="1" t="s">
        <v>45</v>
      </c>
      <c r="AE866" s="1" t="s">
        <v>46</v>
      </c>
      <c r="AF866" s="1" t="s">
        <v>47</v>
      </c>
    </row>
    <row r="867" spans="1:32" x14ac:dyDescent="0.25">
      <c r="A867" s="1">
        <v>867</v>
      </c>
      <c r="B867" s="1" t="s">
        <v>2739</v>
      </c>
      <c r="C867" s="2">
        <v>45693.77083333333</v>
      </c>
      <c r="D867" s="2">
        <v>45701.77083333333</v>
      </c>
      <c r="E867" s="1" t="s">
        <v>2740</v>
      </c>
      <c r="F867" s="1" t="s">
        <v>294</v>
      </c>
      <c r="G867" s="1" t="s">
        <v>35</v>
      </c>
      <c r="H867" s="1" t="s">
        <v>80</v>
      </c>
      <c r="I867" s="1" t="s">
        <v>81</v>
      </c>
      <c r="J867" s="1" t="s">
        <v>82</v>
      </c>
      <c r="K867" s="1" t="s">
        <v>39</v>
      </c>
      <c r="L867" s="1" t="s">
        <v>110</v>
      </c>
      <c r="M867" s="1" t="s">
        <v>2741</v>
      </c>
      <c r="N867" s="1" t="s">
        <v>42</v>
      </c>
      <c r="O867" s="1">
        <v>2</v>
      </c>
      <c r="P867" s="3">
        <v>3992.04</v>
      </c>
      <c r="Q867" s="4">
        <v>0</v>
      </c>
      <c r="R867" s="4">
        <v>0</v>
      </c>
      <c r="S867" s="3">
        <v>7984.08</v>
      </c>
      <c r="T867" s="3">
        <v>5658.05</v>
      </c>
      <c r="U867" s="3">
        <v>2326.03</v>
      </c>
      <c r="V867" s="1" t="s">
        <v>43</v>
      </c>
      <c r="W867" s="1" t="s">
        <v>44</v>
      </c>
      <c r="X867" s="3">
        <f>IF(OR(O867="",P867="",R867=""),"",O867*P867*(1-R867))</f>
        <v>7984.08</v>
      </c>
      <c r="Y867" s="3">
        <f>IF(OR(X867="",T867=""),"",X867-T867)</f>
        <v>2326.03</v>
      </c>
      <c r="Z867" s="4">
        <f>IFERROR(Y867/X867,"")</f>
        <v>0.2913</v>
      </c>
      <c r="AA867" s="1">
        <f>IF(OR(C867="",D867=""),"",D867-C867)</f>
        <v>8</v>
      </c>
      <c r="AB867" s="1">
        <f>IF(C867="","",MONTH(C867))</f>
        <v>2</v>
      </c>
      <c r="AC867" s="1">
        <f>IF(C867="","",YEAR(C867))</f>
        <v>2025</v>
      </c>
      <c r="AD867" s="1" t="s">
        <v>45</v>
      </c>
      <c r="AE867" s="1" t="s">
        <v>46</v>
      </c>
      <c r="AF867" s="1" t="s">
        <v>47</v>
      </c>
    </row>
    <row r="868" spans="1:32" s="15" customFormat="1" x14ac:dyDescent="0.25">
      <c r="A868" s="16">
        <v>868</v>
      </c>
      <c r="B868" s="16" t="s">
        <v>2742</v>
      </c>
      <c r="C868" s="17">
        <v>45713.77083333333</v>
      </c>
      <c r="D868" s="17">
        <v>45721.77083333333</v>
      </c>
      <c r="E868" s="16" t="s">
        <v>2743</v>
      </c>
      <c r="F868" s="16" t="s">
        <v>135</v>
      </c>
      <c r="G868" s="16" t="s">
        <v>35</v>
      </c>
      <c r="H868" s="16" t="s">
        <v>52</v>
      </c>
      <c r="I868" s="16" t="s">
        <v>168</v>
      </c>
      <c r="J868" s="16" t="s">
        <v>169</v>
      </c>
      <c r="K868" s="16" t="s">
        <v>55</v>
      </c>
      <c r="L868" s="16" t="s">
        <v>182</v>
      </c>
      <c r="M868" s="16" t="s">
        <v>2744</v>
      </c>
      <c r="N868" s="16" t="s">
        <v>64</v>
      </c>
      <c r="O868" s="16">
        <v>9</v>
      </c>
      <c r="P868" s="18">
        <v>3043.37</v>
      </c>
      <c r="Q868" s="19">
        <v>0.2</v>
      </c>
      <c r="R868" s="19">
        <v>0.2</v>
      </c>
      <c r="S868" s="18">
        <v>21912.26</v>
      </c>
      <c r="T868" s="18">
        <v>16367.78</v>
      </c>
      <c r="U868" s="18">
        <v>5544.48</v>
      </c>
      <c r="V868" s="16" t="s">
        <v>131</v>
      </c>
      <c r="W868" s="16" t="s">
        <v>85</v>
      </c>
      <c r="X868" s="18">
        <f>IF(OR(O868="",P868="",R868=""),"",O868*P868*(1-R868))</f>
        <v>21912.26</v>
      </c>
      <c r="Y868" s="18">
        <f>IF(OR(X868="",T868=""),"",X868-T868)</f>
        <v>5544.48</v>
      </c>
      <c r="Z868" s="19">
        <f>IFERROR(Y868/X868,"")</f>
        <v>0.253</v>
      </c>
      <c r="AA868" s="16">
        <f>IF(OR(C868="",D868=""),"",D868-C868)</f>
        <v>8</v>
      </c>
      <c r="AB868" s="16">
        <f>IF(C868="","",MONTH(C868))</f>
        <v>2</v>
      </c>
      <c r="AC868" s="16">
        <f>IF(C868="","",YEAR(C868))</f>
        <v>2025</v>
      </c>
      <c r="AD868" s="16" t="s">
        <v>86</v>
      </c>
      <c r="AE868" s="16" t="s">
        <v>66</v>
      </c>
      <c r="AF868" s="16" t="s">
        <v>255</v>
      </c>
    </row>
    <row r="869" spans="1:32" s="15" customFormat="1" x14ac:dyDescent="0.25">
      <c r="A869" s="16">
        <v>869</v>
      </c>
      <c r="B869" s="16" t="s">
        <v>2745</v>
      </c>
      <c r="C869" s="17">
        <v>45616.77083333333</v>
      </c>
      <c r="D869" s="17">
        <v>45617.77083333333</v>
      </c>
      <c r="E869" s="16" t="s">
        <v>2746</v>
      </c>
      <c r="F869" s="16" t="s">
        <v>139</v>
      </c>
      <c r="G869" s="16" t="s">
        <v>114</v>
      </c>
      <c r="H869" s="16" t="s">
        <v>71</v>
      </c>
      <c r="I869" s="16" t="s">
        <v>103</v>
      </c>
      <c r="J869" s="16" t="s">
        <v>104</v>
      </c>
      <c r="K869" s="16" t="s">
        <v>93</v>
      </c>
      <c r="L869" s="16" t="s">
        <v>94</v>
      </c>
      <c r="M869" s="16" t="s">
        <v>2747</v>
      </c>
      <c r="N869" s="16" t="s">
        <v>58</v>
      </c>
      <c r="O869" s="16">
        <v>6</v>
      </c>
      <c r="P869" s="18">
        <v>1043.49</v>
      </c>
      <c r="Q869" s="19">
        <v>0.25</v>
      </c>
      <c r="R869" s="19">
        <v>0.25</v>
      </c>
      <c r="S869" s="18">
        <v>4695.7</v>
      </c>
      <c r="T869" s="18">
        <v>3871.69</v>
      </c>
      <c r="U869" s="18">
        <v>824.01</v>
      </c>
      <c r="V869" s="16" t="s">
        <v>178</v>
      </c>
      <c r="W869" s="16" t="s">
        <v>85</v>
      </c>
      <c r="X869" s="18">
        <f>IF(OR(O869="",P869="",R869=""),"",O869*P869*(1-R869))</f>
        <v>4695.71</v>
      </c>
      <c r="Y869" s="18">
        <f>IF(OR(X869="",T869=""),"",X869-T869)</f>
        <v>824.02</v>
      </c>
      <c r="Z869" s="19">
        <f>IFERROR(Y869/X869,"")</f>
        <v>0.1755</v>
      </c>
      <c r="AA869" s="16">
        <f>IF(OR(C869="",D869=""),"",D869-C869)</f>
        <v>1</v>
      </c>
      <c r="AB869" s="16">
        <f>IF(C869="","",MONTH(C869))</f>
        <v>11</v>
      </c>
      <c r="AC869" s="16">
        <f>IF(C869="","",YEAR(C869))</f>
        <v>2024</v>
      </c>
      <c r="AD869" s="16" t="s">
        <v>86</v>
      </c>
      <c r="AE869" s="16" t="s">
        <v>66</v>
      </c>
      <c r="AF869" s="16" t="s">
        <v>296</v>
      </c>
    </row>
    <row r="870" spans="1:32" x14ac:dyDescent="0.25">
      <c r="A870" s="1">
        <v>870</v>
      </c>
      <c r="B870" s="1" t="s">
        <v>2748</v>
      </c>
      <c r="C870" s="2">
        <v>45757.77083333333</v>
      </c>
      <c r="D870" s="2">
        <v>45761.77083333333</v>
      </c>
      <c r="E870" s="1" t="s">
        <v>2749</v>
      </c>
      <c r="F870" s="1" t="s">
        <v>90</v>
      </c>
      <c r="G870" s="1" t="s">
        <v>114</v>
      </c>
      <c r="H870" s="1" t="s">
        <v>71</v>
      </c>
      <c r="I870" s="1" t="s">
        <v>201</v>
      </c>
      <c r="J870" s="1" t="s">
        <v>202</v>
      </c>
      <c r="K870" s="1" t="s">
        <v>39</v>
      </c>
      <c r="L870" s="1" t="s">
        <v>145</v>
      </c>
      <c r="M870" s="1" t="s">
        <v>2750</v>
      </c>
      <c r="N870" s="1" t="s">
        <v>58</v>
      </c>
      <c r="O870" s="1">
        <v>9</v>
      </c>
      <c r="P870" s="3">
        <v>224.94</v>
      </c>
      <c r="Q870" s="4">
        <v>0.05</v>
      </c>
      <c r="R870" s="4">
        <v>0.05</v>
      </c>
      <c r="S870" s="3">
        <v>1923.24</v>
      </c>
      <c r="T870" s="3">
        <v>1093.66</v>
      </c>
      <c r="U870" s="3">
        <v>829.58</v>
      </c>
      <c r="V870" s="1" t="s">
        <v>43</v>
      </c>
      <c r="W870" s="1" t="s">
        <v>44</v>
      </c>
      <c r="X870" s="3">
        <f>IF(OR(O870="",P870="",R870=""),"",O870*P870*(1-R870))</f>
        <v>1923.24</v>
      </c>
      <c r="Y870" s="3">
        <f>IF(OR(X870="",T870=""),"",X870-T870)</f>
        <v>829.58</v>
      </c>
      <c r="Z870" s="4">
        <f>IFERROR(Y870/X870,"")</f>
        <v>0.4313</v>
      </c>
      <c r="AA870" s="1">
        <f>IF(OR(C870="",D870=""),"",D870-C870)</f>
        <v>4</v>
      </c>
      <c r="AB870" s="1">
        <f>IF(C870="","",MONTH(C870))</f>
        <v>4</v>
      </c>
      <c r="AC870" s="1">
        <f>IF(C870="","",YEAR(C870))</f>
        <v>2025</v>
      </c>
      <c r="AD870" s="1" t="s">
        <v>45</v>
      </c>
      <c r="AE870" s="1" t="s">
        <v>46</v>
      </c>
      <c r="AF870" s="1" t="s">
        <v>47</v>
      </c>
    </row>
    <row r="871" spans="1:32" s="15" customFormat="1" x14ac:dyDescent="0.25">
      <c r="A871" s="16">
        <v>871</v>
      </c>
      <c r="B871" s="16" t="s">
        <v>2751</v>
      </c>
      <c r="C871" s="17">
        <v>45721.77083333333</v>
      </c>
      <c r="D871" s="17">
        <v>45722.77083333333</v>
      </c>
      <c r="E871" s="16" t="s">
        <v>2752</v>
      </c>
      <c r="F871" s="16" t="s">
        <v>163</v>
      </c>
      <c r="G871" s="16" t="s">
        <v>114</v>
      </c>
      <c r="H871" s="16" t="s">
        <v>232</v>
      </c>
      <c r="I871" s="16" t="s">
        <v>384</v>
      </c>
      <c r="J871" s="16" t="s">
        <v>385</v>
      </c>
      <c r="K871" s="16" t="s">
        <v>55</v>
      </c>
      <c r="L871" s="16" t="s">
        <v>83</v>
      </c>
      <c r="M871" s="16" t="s">
        <v>1202</v>
      </c>
      <c r="N871" s="16" t="s">
        <v>58</v>
      </c>
      <c r="O871" s="16">
        <v>6</v>
      </c>
      <c r="P871" s="18">
        <v>796.65</v>
      </c>
      <c r="Q871" s="19">
        <v>0.1</v>
      </c>
      <c r="R871" s="19">
        <v>0.1</v>
      </c>
      <c r="S871" s="18">
        <v>4301.91</v>
      </c>
      <c r="T871" s="18">
        <v>2374.4</v>
      </c>
      <c r="U871" s="18">
        <v>1927.51</v>
      </c>
      <c r="V871" s="16" t="s">
        <v>43</v>
      </c>
      <c r="W871" s="16" t="s">
        <v>44</v>
      </c>
      <c r="X871" s="18">
        <f>IF(OR(O871="",P871="",R871=""),"",O871*P871*(1-R871))</f>
        <v>4301.91</v>
      </c>
      <c r="Y871" s="18">
        <f>IF(OR(X871="",T871=""),"",X871-T871)</f>
        <v>1927.51</v>
      </c>
      <c r="Z871" s="19">
        <f>IFERROR(Y871/X871,"")</f>
        <v>0.4481</v>
      </c>
      <c r="AA871" s="16">
        <f>IF(OR(C871="",D871=""),"",D871-C871)</f>
        <v>1</v>
      </c>
      <c r="AB871" s="16">
        <f>IF(C871="","",MONTH(C871))</f>
        <v>3</v>
      </c>
      <c r="AC871" s="16">
        <f>IF(C871="","",YEAR(C871))</f>
        <v>2025</v>
      </c>
      <c r="AD871" s="16" t="s">
        <v>86</v>
      </c>
      <c r="AE871" s="16" t="s">
        <v>46</v>
      </c>
      <c r="AF871" s="16" t="s">
        <v>487</v>
      </c>
    </row>
    <row r="872" spans="1:32" s="15" customFormat="1" x14ac:dyDescent="0.25">
      <c r="A872" s="16">
        <v>872</v>
      </c>
      <c r="B872" s="16" t="s">
        <v>2753</v>
      </c>
      <c r="C872" s="17">
        <v>45813.77083333333</v>
      </c>
      <c r="D872" s="17">
        <v>45814.77083333333</v>
      </c>
      <c r="E872" s="16" t="s">
        <v>2754</v>
      </c>
      <c r="F872" s="16" t="s">
        <v>90</v>
      </c>
      <c r="G872" s="16" t="s">
        <v>109</v>
      </c>
      <c r="H872" s="16" t="s">
        <v>80</v>
      </c>
      <c r="I872" s="16" t="s">
        <v>216</v>
      </c>
      <c r="J872" s="16" t="s">
        <v>217</v>
      </c>
      <c r="K872" s="16" t="s">
        <v>55</v>
      </c>
      <c r="L872" s="16" t="s">
        <v>56</v>
      </c>
      <c r="M872" s="16" t="s">
        <v>2755</v>
      </c>
      <c r="N872" s="16" t="s">
        <v>76</v>
      </c>
      <c r="O872" s="16">
        <v>9</v>
      </c>
      <c r="P872" s="18">
        <v>2932.92</v>
      </c>
      <c r="Q872" s="19">
        <v>0.15</v>
      </c>
      <c r="R872" s="19">
        <v>0.15</v>
      </c>
      <c r="S872" s="18">
        <v>22436.84</v>
      </c>
      <c r="T872" s="18">
        <v>17454.67</v>
      </c>
      <c r="U872" s="18">
        <v>4982.17</v>
      </c>
      <c r="V872" s="16" t="s">
        <v>43</v>
      </c>
      <c r="W872" s="16" t="s">
        <v>85</v>
      </c>
      <c r="X872" s="18">
        <f>IF(OR(O872="",P872="",R872=""),"",O872*P872*(1-R872))</f>
        <v>22436.84</v>
      </c>
      <c r="Y872" s="18">
        <f>IF(OR(X872="",T872=""),"",X872-T872)</f>
        <v>4982.17</v>
      </c>
      <c r="Z872" s="19">
        <f>IFERROR(Y872/X872,"")</f>
        <v>0.2221</v>
      </c>
      <c r="AA872" s="16">
        <f>IF(OR(C872="",D872=""),"",D872-C872)</f>
        <v>1</v>
      </c>
      <c r="AB872" s="16">
        <f>IF(C872="","",MONTH(C872))</f>
        <v>6</v>
      </c>
      <c r="AC872" s="16">
        <f>IF(C872="","",YEAR(C872))</f>
        <v>2025</v>
      </c>
      <c r="AD872" s="16" t="s">
        <v>86</v>
      </c>
      <c r="AE872" s="16" t="s">
        <v>66</v>
      </c>
      <c r="AF872" s="16" t="s">
        <v>87</v>
      </c>
    </row>
    <row r="873" spans="1:32" s="15" customFormat="1" x14ac:dyDescent="0.25">
      <c r="A873" s="16">
        <v>873</v>
      </c>
      <c r="B873" s="16" t="s">
        <v>2756</v>
      </c>
      <c r="C873" s="17">
        <v>45341.77083333333</v>
      </c>
      <c r="D873" s="17">
        <v>45343.77083333333</v>
      </c>
      <c r="E873" s="16" t="s">
        <v>2625</v>
      </c>
      <c r="F873" s="16" t="s">
        <v>98</v>
      </c>
      <c r="G873" s="16" t="s">
        <v>51</v>
      </c>
      <c r="H873" s="16" t="s">
        <v>71</v>
      </c>
      <c r="I873" s="16" t="s">
        <v>72</v>
      </c>
      <c r="J873" s="16" t="s">
        <v>73</v>
      </c>
      <c r="K873" s="16" t="s">
        <v>93</v>
      </c>
      <c r="L873" s="16" t="s">
        <v>94</v>
      </c>
      <c r="M873" s="16" t="s">
        <v>2757</v>
      </c>
      <c r="N873" s="16" t="s">
        <v>64</v>
      </c>
      <c r="O873" s="16">
        <v>9</v>
      </c>
      <c r="P873" s="18">
        <v>2186.23</v>
      </c>
      <c r="Q873" s="19">
        <v>0</v>
      </c>
      <c r="R873" s="19">
        <v>0</v>
      </c>
      <c r="S873" s="18">
        <v>19676.07</v>
      </c>
      <c r="T873" s="18">
        <v>12458.62</v>
      </c>
      <c r="U873" s="18">
        <v>7217.45</v>
      </c>
      <c r="V873" s="16" t="s">
        <v>121</v>
      </c>
      <c r="W873" s="16" t="s">
        <v>85</v>
      </c>
      <c r="X873" s="18">
        <f>IF(OR(O873="",P873="",R873=""),"",O873*P873*(1-R873))</f>
        <v>19676.07</v>
      </c>
      <c r="Y873" s="18">
        <f>IF(OR(X873="",T873=""),"",X873-T873)</f>
        <v>7217.45</v>
      </c>
      <c r="Z873" s="19">
        <f>IFERROR(Y873/X873,"")</f>
        <v>0.3668</v>
      </c>
      <c r="AA873" s="16">
        <f>IF(OR(C873="",D873=""),"",D873-C873)</f>
        <v>2</v>
      </c>
      <c r="AB873" s="16">
        <f>IF(C873="","",MONTH(C873))</f>
        <v>2</v>
      </c>
      <c r="AC873" s="16">
        <f>IF(C873="","",YEAR(C873))</f>
        <v>2024</v>
      </c>
      <c r="AD873" s="16" t="s">
        <v>86</v>
      </c>
      <c r="AE873" s="16" t="s">
        <v>66</v>
      </c>
      <c r="AF873" s="16" t="s">
        <v>160</v>
      </c>
    </row>
    <row r="874" spans="1:32" x14ac:dyDescent="0.25">
      <c r="A874" s="1">
        <v>874</v>
      </c>
      <c r="B874" s="1" t="s">
        <v>2758</v>
      </c>
      <c r="C874" s="2">
        <v>45596.77083333333</v>
      </c>
      <c r="D874" s="2">
        <v>45597.77083333333</v>
      </c>
      <c r="E874" s="1" t="s">
        <v>2024</v>
      </c>
      <c r="F874" s="1" t="s">
        <v>34</v>
      </c>
      <c r="G874" s="1" t="s">
        <v>109</v>
      </c>
      <c r="H874" s="1" t="s">
        <v>52</v>
      </c>
      <c r="I874" s="1" t="s">
        <v>118</v>
      </c>
      <c r="J874" s="1" t="s">
        <v>119</v>
      </c>
      <c r="K874" s="1" t="s">
        <v>55</v>
      </c>
      <c r="L874" s="1" t="s">
        <v>74</v>
      </c>
      <c r="M874" s="1" t="s">
        <v>2759</v>
      </c>
      <c r="N874" s="1" t="s">
        <v>76</v>
      </c>
      <c r="O874" s="1">
        <v>5</v>
      </c>
      <c r="P874" s="3">
        <v>2212.02</v>
      </c>
      <c r="Q874" s="4">
        <v>0.2</v>
      </c>
      <c r="R874" s="4">
        <v>0.2</v>
      </c>
      <c r="S874" s="3">
        <v>8848.08</v>
      </c>
      <c r="T874" s="3">
        <v>5691.56</v>
      </c>
      <c r="U874" s="3">
        <v>3156.52</v>
      </c>
      <c r="V874" s="1" t="s">
        <v>43</v>
      </c>
      <c r="W874" s="1" t="s">
        <v>44</v>
      </c>
      <c r="X874" s="3">
        <f>IF(OR(O874="",P874="",R874=""),"",O874*P874*(1-R874))</f>
        <v>8848.08</v>
      </c>
      <c r="Y874" s="3">
        <f>IF(OR(X874="",T874=""),"",X874-T874)</f>
        <v>3156.52</v>
      </c>
      <c r="Z874" s="4">
        <f>IFERROR(Y874/X874,"")</f>
        <v>0.3567</v>
      </c>
      <c r="AA874" s="1">
        <f>IF(OR(C874="",D874=""),"",D874-C874)</f>
        <v>1</v>
      </c>
      <c r="AB874" s="1">
        <f>IF(C874="","",MONTH(C874))</f>
        <v>11</v>
      </c>
      <c r="AC874" s="1">
        <f>IF(C874="","",YEAR(C874))</f>
        <v>2024</v>
      </c>
      <c r="AD874" s="1" t="s">
        <v>45</v>
      </c>
      <c r="AE874" s="1" t="s">
        <v>46</v>
      </c>
      <c r="AF874" s="1" t="s">
        <v>47</v>
      </c>
    </row>
    <row r="875" spans="1:32" x14ac:dyDescent="0.25">
      <c r="A875" s="1">
        <v>875</v>
      </c>
      <c r="B875" s="1" t="s">
        <v>2760</v>
      </c>
      <c r="C875" s="2">
        <v>45688.77083333333</v>
      </c>
      <c r="D875" s="2">
        <v>45695.77083333333</v>
      </c>
      <c r="E875" s="1" t="s">
        <v>2761</v>
      </c>
      <c r="F875" s="1" t="s">
        <v>108</v>
      </c>
      <c r="G875" s="1" t="s">
        <v>114</v>
      </c>
      <c r="H875" s="1" t="s">
        <v>80</v>
      </c>
      <c r="I875" s="1" t="s">
        <v>206</v>
      </c>
      <c r="J875" s="1" t="s">
        <v>207</v>
      </c>
      <c r="K875" s="1" t="s">
        <v>39</v>
      </c>
      <c r="L875" s="1" t="s">
        <v>145</v>
      </c>
      <c r="M875" s="1" t="s">
        <v>2762</v>
      </c>
      <c r="N875" s="1" t="s">
        <v>42</v>
      </c>
      <c r="O875" s="1">
        <v>8</v>
      </c>
      <c r="P875" s="3">
        <v>623.31</v>
      </c>
      <c r="Q875" s="4">
        <v>0.1</v>
      </c>
      <c r="R875" s="4">
        <v>0.1</v>
      </c>
      <c r="S875" s="3">
        <v>4487.83</v>
      </c>
      <c r="T875" s="3">
        <v>2633.78</v>
      </c>
      <c r="U875" s="3">
        <v>1854.05</v>
      </c>
      <c r="V875" s="1" t="s">
        <v>43</v>
      </c>
      <c r="W875" s="1" t="s">
        <v>44</v>
      </c>
      <c r="X875" s="3">
        <f>IF(OR(O875="",P875="",R875=""),"",O875*P875*(1-R875))</f>
        <v>4487.83</v>
      </c>
      <c r="Y875" s="3">
        <f>IF(OR(X875="",T875=""),"",X875-T875)</f>
        <v>1854.05</v>
      </c>
      <c r="Z875" s="4">
        <f>IFERROR(Y875/X875,"")</f>
        <v>0.4131</v>
      </c>
      <c r="AA875" s="1">
        <f>IF(OR(C875="",D875=""),"",D875-C875)</f>
        <v>7</v>
      </c>
      <c r="AB875" s="1">
        <f>IF(C875="","",MONTH(C875))</f>
        <v>2</v>
      </c>
      <c r="AC875" s="1">
        <f>IF(C875="","",YEAR(C875))</f>
        <v>2025</v>
      </c>
      <c r="AD875" s="1" t="s">
        <v>45</v>
      </c>
      <c r="AE875" s="1" t="s">
        <v>46</v>
      </c>
      <c r="AF875" s="1" t="s">
        <v>47</v>
      </c>
    </row>
    <row r="876" spans="1:32" x14ac:dyDescent="0.25">
      <c r="A876" s="1">
        <v>876</v>
      </c>
      <c r="B876" s="1" t="s">
        <v>2763</v>
      </c>
      <c r="C876" s="2">
        <v>45852.77083333333</v>
      </c>
      <c r="D876" s="2">
        <v>45853.77083333333</v>
      </c>
      <c r="E876" s="1" t="s">
        <v>2764</v>
      </c>
      <c r="F876" s="1" t="s">
        <v>90</v>
      </c>
      <c r="G876" s="1" t="s">
        <v>51</v>
      </c>
      <c r="H876" s="1" t="s">
        <v>80</v>
      </c>
      <c r="I876" s="1" t="s">
        <v>81</v>
      </c>
      <c r="J876" s="1" t="s">
        <v>82</v>
      </c>
      <c r="K876" s="1" t="s">
        <v>39</v>
      </c>
      <c r="L876" s="1" t="s">
        <v>40</v>
      </c>
      <c r="M876" s="1" t="s">
        <v>2765</v>
      </c>
      <c r="N876" s="1" t="s">
        <v>76</v>
      </c>
      <c r="O876" s="1">
        <v>8</v>
      </c>
      <c r="P876" s="3">
        <v>3924.88</v>
      </c>
      <c r="Q876" s="4">
        <v>0.05</v>
      </c>
      <c r="R876" s="4">
        <v>0.05</v>
      </c>
      <c r="S876" s="3">
        <v>29829.09</v>
      </c>
      <c r="T876" s="3">
        <v>20710.18</v>
      </c>
      <c r="U876" s="3">
        <v>9118.91</v>
      </c>
      <c r="V876" s="1" t="s">
        <v>43</v>
      </c>
      <c r="W876" s="1" t="s">
        <v>44</v>
      </c>
      <c r="X876" s="3">
        <f>IF(OR(O876="",P876="",R876=""),"",O876*P876*(1-R876))</f>
        <v>29829.09</v>
      </c>
      <c r="Y876" s="3">
        <f>IF(OR(X876="",T876=""),"",X876-T876)</f>
        <v>9118.91</v>
      </c>
      <c r="Z876" s="4">
        <f>IFERROR(Y876/X876,"")</f>
        <v>0.3057</v>
      </c>
      <c r="AA876" s="1">
        <f>IF(OR(C876="",D876=""),"",D876-C876)</f>
        <v>1</v>
      </c>
      <c r="AB876" s="1">
        <f>IF(C876="","",MONTH(C876))</f>
        <v>7</v>
      </c>
      <c r="AC876" s="1">
        <f>IF(C876="","",YEAR(C876))</f>
        <v>2025</v>
      </c>
      <c r="AD876" s="1" t="s">
        <v>45</v>
      </c>
      <c r="AE876" s="1" t="s">
        <v>46</v>
      </c>
      <c r="AF876" s="1" t="s">
        <v>47</v>
      </c>
    </row>
    <row r="877" spans="1:32" x14ac:dyDescent="0.25">
      <c r="A877" s="1">
        <v>877</v>
      </c>
      <c r="B877" s="1" t="s">
        <v>2766</v>
      </c>
      <c r="C877" s="2">
        <v>45513.77083333333</v>
      </c>
      <c r="D877" s="2">
        <v>45514.77083333333</v>
      </c>
      <c r="E877" s="1" t="s">
        <v>2767</v>
      </c>
      <c r="F877" s="1" t="s">
        <v>50</v>
      </c>
      <c r="G877" s="1" t="s">
        <v>109</v>
      </c>
      <c r="H877" s="1" t="s">
        <v>80</v>
      </c>
      <c r="I877" s="1" t="s">
        <v>81</v>
      </c>
      <c r="J877" s="1" t="s">
        <v>82</v>
      </c>
      <c r="K877" s="1" t="s">
        <v>93</v>
      </c>
      <c r="L877" s="1" t="s">
        <v>99</v>
      </c>
      <c r="M877" s="1" t="s">
        <v>2768</v>
      </c>
      <c r="N877" s="1" t="s">
        <v>64</v>
      </c>
      <c r="O877" s="1">
        <v>7</v>
      </c>
      <c r="P877" s="3">
        <v>3852.62</v>
      </c>
      <c r="Q877" s="4">
        <v>0.2</v>
      </c>
      <c r="R877" s="4">
        <v>0.2</v>
      </c>
      <c r="S877" s="3">
        <v>21574.67</v>
      </c>
      <c r="T877" s="3">
        <v>14672.83</v>
      </c>
      <c r="U877" s="3">
        <v>6901.84</v>
      </c>
      <c r="V877" s="1" t="s">
        <v>43</v>
      </c>
      <c r="W877" s="1" t="s">
        <v>44</v>
      </c>
      <c r="X877" s="3">
        <f>IF(OR(O877="",P877="",R877=""),"",O877*P877*(1-R877))</f>
        <v>21574.67</v>
      </c>
      <c r="Y877" s="3">
        <f>IF(OR(X877="",T877=""),"",X877-T877)</f>
        <v>6901.84</v>
      </c>
      <c r="Z877" s="4">
        <f>IFERROR(Y877/X877,"")</f>
        <v>0.3199</v>
      </c>
      <c r="AA877" s="1">
        <f>IF(OR(C877="",D877=""),"",D877-C877)</f>
        <v>1</v>
      </c>
      <c r="AB877" s="1">
        <f>IF(C877="","",MONTH(C877))</f>
        <v>8</v>
      </c>
      <c r="AC877" s="1">
        <f>IF(C877="","",YEAR(C877))</f>
        <v>2024</v>
      </c>
      <c r="AD877" s="1" t="s">
        <v>45</v>
      </c>
      <c r="AE877" s="1" t="s">
        <v>46</v>
      </c>
      <c r="AF877" s="1" t="s">
        <v>47</v>
      </c>
    </row>
    <row r="878" spans="1:32" x14ac:dyDescent="0.25">
      <c r="A878" s="1">
        <v>878</v>
      </c>
      <c r="B878" s="1" t="s">
        <v>2769</v>
      </c>
      <c r="C878" s="2">
        <v>45613.77083333333</v>
      </c>
      <c r="D878" s="2">
        <v>45615.77083333333</v>
      </c>
      <c r="E878" s="1" t="s">
        <v>2770</v>
      </c>
      <c r="F878" s="1" t="s">
        <v>135</v>
      </c>
      <c r="G878" s="1" t="s">
        <v>35</v>
      </c>
      <c r="H878" s="1" t="s">
        <v>80</v>
      </c>
      <c r="I878" s="1" t="s">
        <v>37</v>
      </c>
      <c r="J878" s="1" t="s">
        <v>129</v>
      </c>
      <c r="K878" s="1" t="s">
        <v>55</v>
      </c>
      <c r="L878" s="1" t="s">
        <v>83</v>
      </c>
      <c r="M878" s="1" t="s">
        <v>892</v>
      </c>
      <c r="N878" s="1" t="s">
        <v>64</v>
      </c>
      <c r="O878" s="1">
        <v>6</v>
      </c>
      <c r="P878" s="3">
        <v>3790.22</v>
      </c>
      <c r="Q878" s="4">
        <v>0</v>
      </c>
      <c r="R878" s="4">
        <v>0</v>
      </c>
      <c r="S878" s="3">
        <v>22741.32</v>
      </c>
      <c r="T878" s="3">
        <v>16388.57</v>
      </c>
      <c r="U878" s="3">
        <v>6352.75</v>
      </c>
      <c r="V878" s="1" t="s">
        <v>43</v>
      </c>
      <c r="W878" s="1" t="s">
        <v>44</v>
      </c>
      <c r="X878" s="3">
        <f>IF(OR(O878="",P878="",R878=""),"",O878*P878*(1-R878))</f>
        <v>22741.32</v>
      </c>
      <c r="Y878" s="3">
        <f>IF(OR(X878="",T878=""),"",X878-T878)</f>
        <v>6352.75</v>
      </c>
      <c r="Z878" s="4">
        <f>IFERROR(Y878/X878,"")</f>
        <v>0.2793</v>
      </c>
      <c r="AA878" s="1">
        <f>IF(OR(C878="",D878=""),"",D878-C878)</f>
        <v>2</v>
      </c>
      <c r="AB878" s="1">
        <f>IF(C878="","",MONTH(C878))</f>
        <v>11</v>
      </c>
      <c r="AC878" s="1">
        <f>IF(C878="","",YEAR(C878))</f>
        <v>2024</v>
      </c>
      <c r="AD878" s="1" t="s">
        <v>45</v>
      </c>
      <c r="AE878" s="1" t="s">
        <v>46</v>
      </c>
      <c r="AF878" s="1" t="s">
        <v>47</v>
      </c>
    </row>
    <row r="879" spans="1:32" x14ac:dyDescent="0.25">
      <c r="A879" s="1">
        <v>879</v>
      </c>
      <c r="B879" s="1" t="s">
        <v>2771</v>
      </c>
      <c r="C879" s="2">
        <v>45894.77083333333</v>
      </c>
      <c r="D879" s="2">
        <v>45902.77083333333</v>
      </c>
      <c r="E879" s="1" t="s">
        <v>2772</v>
      </c>
      <c r="F879" s="1" t="s">
        <v>149</v>
      </c>
      <c r="G879" s="1" t="s">
        <v>35</v>
      </c>
      <c r="H879" s="1" t="s">
        <v>80</v>
      </c>
      <c r="I879" s="1" t="s">
        <v>37</v>
      </c>
      <c r="J879" s="1" t="s">
        <v>129</v>
      </c>
      <c r="K879" s="1" t="s">
        <v>39</v>
      </c>
      <c r="L879" s="1" t="s">
        <v>145</v>
      </c>
      <c r="M879" s="1" t="s">
        <v>2773</v>
      </c>
      <c r="N879" s="1" t="s">
        <v>42</v>
      </c>
      <c r="O879" s="1">
        <v>6</v>
      </c>
      <c r="P879" s="3">
        <v>674.36</v>
      </c>
      <c r="Q879" s="4">
        <v>0.1</v>
      </c>
      <c r="R879" s="4">
        <v>0.1</v>
      </c>
      <c r="S879" s="3">
        <v>3641.54</v>
      </c>
      <c r="T879" s="3">
        <v>2690.37</v>
      </c>
      <c r="U879" s="3">
        <v>951.17</v>
      </c>
      <c r="V879" s="1" t="s">
        <v>43</v>
      </c>
      <c r="W879" s="1" t="s">
        <v>44</v>
      </c>
      <c r="X879" s="3">
        <f>IF(OR(O879="",P879="",R879=""),"",O879*P879*(1-R879))</f>
        <v>3641.54</v>
      </c>
      <c r="Y879" s="3">
        <f>IF(OR(X879="",T879=""),"",X879-T879)</f>
        <v>951.17</v>
      </c>
      <c r="Z879" s="4">
        <f>IFERROR(Y879/X879,"")</f>
        <v>0.2612</v>
      </c>
      <c r="AA879" s="1">
        <f>IF(OR(C879="",D879=""),"",D879-C879)</f>
        <v>8</v>
      </c>
      <c r="AB879" s="1">
        <f>IF(C879="","",MONTH(C879))</f>
        <v>8</v>
      </c>
      <c r="AC879" s="1">
        <f>IF(C879="","",YEAR(C879))</f>
        <v>2025</v>
      </c>
      <c r="AD879" s="1" t="s">
        <v>45</v>
      </c>
      <c r="AE879" s="1" t="s">
        <v>46</v>
      </c>
      <c r="AF879" s="1" t="s">
        <v>47</v>
      </c>
    </row>
    <row r="880" spans="1:32" x14ac:dyDescent="0.25">
      <c r="A880" s="1">
        <v>880</v>
      </c>
      <c r="B880" s="1" t="s">
        <v>2774</v>
      </c>
      <c r="C880" s="2">
        <v>45312.77083333333</v>
      </c>
      <c r="D880" s="2">
        <v>45312.77083333333</v>
      </c>
      <c r="E880" s="1" t="s">
        <v>2775</v>
      </c>
      <c r="F880" s="1" t="s">
        <v>34</v>
      </c>
      <c r="G880" s="1" t="s">
        <v>109</v>
      </c>
      <c r="H880" s="1" t="s">
        <v>52</v>
      </c>
      <c r="I880" s="1" t="s">
        <v>118</v>
      </c>
      <c r="J880" s="1" t="s">
        <v>119</v>
      </c>
      <c r="K880" s="1" t="s">
        <v>39</v>
      </c>
      <c r="L880" s="1" t="s">
        <v>40</v>
      </c>
      <c r="M880" s="1" t="s">
        <v>2776</v>
      </c>
      <c r="N880" s="1" t="s">
        <v>64</v>
      </c>
      <c r="O880" s="1">
        <v>8</v>
      </c>
      <c r="P880" s="3">
        <v>1557.21</v>
      </c>
      <c r="Q880" s="4">
        <v>0.05</v>
      </c>
      <c r="R880" s="4">
        <v>0.05</v>
      </c>
      <c r="S880" s="3">
        <v>11834.8</v>
      </c>
      <c r="T880" s="3">
        <v>9322.36</v>
      </c>
      <c r="U880" s="3">
        <v>2512.44</v>
      </c>
      <c r="V880" s="1" t="s">
        <v>43</v>
      </c>
      <c r="W880" s="1" t="s">
        <v>44</v>
      </c>
      <c r="X880" s="3">
        <f>IF(OR(O880="",P880="",R880=""),"",O880*P880*(1-R880))</f>
        <v>11834.8</v>
      </c>
      <c r="Y880" s="3">
        <f>IF(OR(X880="",T880=""),"",X880-T880)</f>
        <v>2512.44</v>
      </c>
      <c r="Z880" s="4">
        <f>IFERROR(Y880/X880,"")</f>
        <v>0.2123</v>
      </c>
      <c r="AA880" s="1">
        <f>IF(OR(C880="",D880=""),"",D880-C880)</f>
        <v>0</v>
      </c>
      <c r="AB880" s="1">
        <f>IF(C880="","",MONTH(C880))</f>
        <v>1</v>
      </c>
      <c r="AC880" s="1">
        <f>IF(C880="","",YEAR(C880))</f>
        <v>2024</v>
      </c>
      <c r="AD880" s="1" t="s">
        <v>45</v>
      </c>
      <c r="AE880" s="1" t="s">
        <v>46</v>
      </c>
      <c r="AF880" s="1" t="s">
        <v>47</v>
      </c>
    </row>
    <row r="881" spans="1:32" x14ac:dyDescent="0.25">
      <c r="A881" s="1">
        <v>881</v>
      </c>
      <c r="B881" s="1" t="s">
        <v>2777</v>
      </c>
      <c r="C881" s="2">
        <v>45895.77083333333</v>
      </c>
      <c r="D881" s="2">
        <v>45896.77083333333</v>
      </c>
      <c r="E881" s="1" t="s">
        <v>2778</v>
      </c>
      <c r="F881" s="1" t="s">
        <v>79</v>
      </c>
      <c r="G881" s="1" t="s">
        <v>114</v>
      </c>
      <c r="H881" s="1" t="s">
        <v>36</v>
      </c>
      <c r="I881" s="1" t="s">
        <v>157</v>
      </c>
      <c r="J881" s="1" t="s">
        <v>158</v>
      </c>
      <c r="K881" s="1" t="s">
        <v>39</v>
      </c>
      <c r="L881" s="1" t="s">
        <v>62</v>
      </c>
      <c r="M881" s="1" t="s">
        <v>2779</v>
      </c>
      <c r="N881" s="1" t="s">
        <v>76</v>
      </c>
      <c r="O881" s="1">
        <v>6</v>
      </c>
      <c r="P881" s="3">
        <v>1182.03</v>
      </c>
      <c r="Q881" s="4">
        <v>0.15</v>
      </c>
      <c r="R881" s="4">
        <v>0.15</v>
      </c>
      <c r="S881" s="3">
        <v>6028.35</v>
      </c>
      <c r="T881" s="3">
        <v>4433.63</v>
      </c>
      <c r="U881" s="3">
        <v>1594.72</v>
      </c>
      <c r="V881" s="1" t="s">
        <v>43</v>
      </c>
      <c r="W881" s="1" t="s">
        <v>44</v>
      </c>
      <c r="X881" s="3">
        <f>IF(OR(O881="",P881="",R881=""),"",O881*P881*(1-R881))</f>
        <v>6028.35</v>
      </c>
      <c r="Y881" s="3">
        <f>IF(OR(X881="",T881=""),"",X881-T881)</f>
        <v>1594.72</v>
      </c>
      <c r="Z881" s="4">
        <f>IFERROR(Y881/X881,"")</f>
        <v>0.2645</v>
      </c>
      <c r="AA881" s="1">
        <f>IF(OR(C881="",D881=""),"",D881-C881)</f>
        <v>1</v>
      </c>
      <c r="AB881" s="1">
        <f>IF(C881="","",MONTH(C881))</f>
        <v>8</v>
      </c>
      <c r="AC881" s="1">
        <f>IF(C881="","",YEAR(C881))</f>
        <v>2025</v>
      </c>
      <c r="AD881" s="1" t="s">
        <v>45</v>
      </c>
      <c r="AE881" s="1" t="s">
        <v>46</v>
      </c>
      <c r="AF881" s="1" t="s">
        <v>47</v>
      </c>
    </row>
    <row r="882" spans="1:32" s="15" customFormat="1" x14ac:dyDescent="0.25">
      <c r="A882" s="16">
        <v>882</v>
      </c>
      <c r="B882" s="16" t="s">
        <v>2780</v>
      </c>
      <c r="C882" s="17">
        <v>45358.77083333333</v>
      </c>
      <c r="D882" s="17">
        <v>45365.77083333333</v>
      </c>
      <c r="E882" s="16" t="s">
        <v>2781</v>
      </c>
      <c r="F882" s="16" t="s">
        <v>149</v>
      </c>
      <c r="G882" s="16" t="s">
        <v>51</v>
      </c>
      <c r="H882" s="16" t="s">
        <v>232</v>
      </c>
      <c r="I882" s="16" t="s">
        <v>143</v>
      </c>
      <c r="J882" s="16" t="s">
        <v>144</v>
      </c>
      <c r="K882" s="16" t="s">
        <v>55</v>
      </c>
      <c r="L882" s="16" t="s">
        <v>83</v>
      </c>
      <c r="M882" s="16" t="s">
        <v>2782</v>
      </c>
      <c r="N882" s="16" t="s">
        <v>64</v>
      </c>
      <c r="O882" s="16">
        <v>5</v>
      </c>
      <c r="P882" s="18">
        <v>3234.77</v>
      </c>
      <c r="Q882" s="19">
        <v>0</v>
      </c>
      <c r="R882" s="19">
        <v>0</v>
      </c>
      <c r="S882" s="18">
        <v>16173.85</v>
      </c>
      <c r="T882" s="18">
        <v>13636.34</v>
      </c>
      <c r="U882" s="18">
        <v>2537.51</v>
      </c>
      <c r="V882" s="16" t="s">
        <v>43</v>
      </c>
      <c r="W882" s="16" t="s">
        <v>44</v>
      </c>
      <c r="X882" s="18">
        <f>IF(OR(O882="",P882="",R882=""),"",O882*P882*(1-R882))</f>
        <v>16173.85</v>
      </c>
      <c r="Y882" s="18">
        <f>IF(OR(X882="",T882=""),"",X882-T882)</f>
        <v>2537.51</v>
      </c>
      <c r="Z882" s="19">
        <f>IFERROR(Y882/X882,"")</f>
        <v>0.1569</v>
      </c>
      <c r="AA882" s="16">
        <f>IF(OR(C882="",D882=""),"",D882-C882)</f>
        <v>7</v>
      </c>
      <c r="AB882" s="16">
        <f>IF(C882="","",MONTH(C882))</f>
        <v>3</v>
      </c>
      <c r="AC882" s="16">
        <f>IF(C882="","",YEAR(C882))</f>
        <v>2024</v>
      </c>
      <c r="AD882" s="16" t="s">
        <v>86</v>
      </c>
      <c r="AE882" s="16" t="s">
        <v>46</v>
      </c>
      <c r="AF882" s="16" t="s">
        <v>487</v>
      </c>
    </row>
    <row r="883" spans="1:32" x14ac:dyDescent="0.25">
      <c r="A883" s="1">
        <v>883</v>
      </c>
      <c r="B883" s="1" t="s">
        <v>2783</v>
      </c>
      <c r="C883" s="2">
        <v>45626.77083333333</v>
      </c>
      <c r="D883" s="2">
        <v>45630.77083333333</v>
      </c>
      <c r="E883" s="1" t="s">
        <v>2784</v>
      </c>
      <c r="F883" s="1" t="s">
        <v>79</v>
      </c>
      <c r="G883" s="1" t="s">
        <v>51</v>
      </c>
      <c r="H883" s="1" t="s">
        <v>71</v>
      </c>
      <c r="I883" s="1" t="s">
        <v>103</v>
      </c>
      <c r="J883" s="1" t="s">
        <v>104</v>
      </c>
      <c r="K883" s="1" t="s">
        <v>93</v>
      </c>
      <c r="L883" s="1" t="s">
        <v>99</v>
      </c>
      <c r="M883" s="1" t="s">
        <v>2785</v>
      </c>
      <c r="N883" s="1" t="s">
        <v>42</v>
      </c>
      <c r="O883" s="1">
        <v>9</v>
      </c>
      <c r="P883" s="3">
        <v>3726.75</v>
      </c>
      <c r="Q883" s="4">
        <v>0.25</v>
      </c>
      <c r="R883" s="4">
        <v>0.25</v>
      </c>
      <c r="S883" s="3">
        <v>25155.56</v>
      </c>
      <c r="T883" s="3">
        <v>17592.69</v>
      </c>
      <c r="U883" s="3">
        <v>7562.87</v>
      </c>
      <c r="V883" s="1" t="s">
        <v>43</v>
      </c>
      <c r="W883" s="1" t="s">
        <v>44</v>
      </c>
      <c r="X883" s="3">
        <f>IF(OR(O883="",P883="",R883=""),"",O883*P883*(1-R883))</f>
        <v>25155.56</v>
      </c>
      <c r="Y883" s="3">
        <f>IF(OR(X883="",T883=""),"",X883-T883)</f>
        <v>7562.87</v>
      </c>
      <c r="Z883" s="4">
        <f>IFERROR(Y883/X883,"")</f>
        <v>0.3006</v>
      </c>
      <c r="AA883" s="1">
        <f>IF(OR(C883="",D883=""),"",D883-C883)</f>
        <v>4</v>
      </c>
      <c r="AB883" s="1">
        <f>IF(C883="","",MONTH(C883))</f>
        <v>12</v>
      </c>
      <c r="AC883" s="1">
        <f>IF(C883="","",YEAR(C883))</f>
        <v>2024</v>
      </c>
      <c r="AD883" s="1" t="s">
        <v>45</v>
      </c>
      <c r="AE883" s="1" t="s">
        <v>46</v>
      </c>
      <c r="AF883" s="1" t="s">
        <v>47</v>
      </c>
    </row>
    <row r="884" spans="1:32" s="15" customFormat="1" x14ac:dyDescent="0.25">
      <c r="A884" s="16">
        <v>884</v>
      </c>
      <c r="B884" s="16" t="s">
        <v>2786</v>
      </c>
      <c r="C884" s="17">
        <v>45689.77083333333</v>
      </c>
      <c r="D884" s="17">
        <v>45697.77083333333</v>
      </c>
      <c r="E884" s="16" t="s">
        <v>2787</v>
      </c>
      <c r="F884" s="16" t="s">
        <v>153</v>
      </c>
      <c r="G884" s="16" t="s">
        <v>109</v>
      </c>
      <c r="H884" s="16" t="s">
        <v>52</v>
      </c>
      <c r="I884" s="16" t="s">
        <v>168</v>
      </c>
      <c r="J884" s="16" t="s">
        <v>169</v>
      </c>
      <c r="K884" s="16" t="s">
        <v>93</v>
      </c>
      <c r="L884" s="16" t="s">
        <v>94</v>
      </c>
      <c r="M884" s="16" t="s">
        <v>2788</v>
      </c>
      <c r="N884" s="16" t="s">
        <v>76</v>
      </c>
      <c r="O884" s="16">
        <v>4</v>
      </c>
      <c r="P884" s="18">
        <v>1912.45</v>
      </c>
      <c r="Q884" s="19">
        <v>0</v>
      </c>
      <c r="R884" s="19">
        <v>0</v>
      </c>
      <c r="S884" s="18">
        <v>7649.8</v>
      </c>
      <c r="T884" s="18">
        <v>4894.53</v>
      </c>
      <c r="U884" s="18">
        <v>2755.27</v>
      </c>
      <c r="V884" s="16" t="s">
        <v>131</v>
      </c>
      <c r="W884" s="16" t="s">
        <v>122</v>
      </c>
      <c r="X884" s="18">
        <f>IF(OR(O884="",P884="",R884=""),"",O884*P884*(1-R884))</f>
        <v>7649.8</v>
      </c>
      <c r="Y884" s="18">
        <f>IF(OR(X884="",T884=""),"",X884-T884)</f>
        <v>2755.27</v>
      </c>
      <c r="Z884" s="19">
        <f>IFERROR(Y884/X884,"")</f>
        <v>0.3602</v>
      </c>
      <c r="AA884" s="16">
        <f>IF(OR(C884="",D884=""),"",D884-C884)</f>
        <v>8</v>
      </c>
      <c r="AB884" s="16">
        <f>IF(C884="","",MONTH(C884))</f>
        <v>2</v>
      </c>
      <c r="AC884" s="16">
        <f>IF(C884="","",YEAR(C884))</f>
        <v>2025</v>
      </c>
      <c r="AD884" s="16" t="s">
        <v>86</v>
      </c>
      <c r="AE884" s="16" t="s">
        <v>66</v>
      </c>
      <c r="AF884" s="16" t="s">
        <v>132</v>
      </c>
    </row>
    <row r="885" spans="1:32" x14ac:dyDescent="0.25">
      <c r="A885" s="1">
        <v>885</v>
      </c>
      <c r="B885" s="1" t="s">
        <v>2789</v>
      </c>
      <c r="C885" s="2">
        <v>45774.77083333333</v>
      </c>
      <c r="D885" s="2">
        <v>45777.77083333333</v>
      </c>
      <c r="E885" s="1" t="s">
        <v>2790</v>
      </c>
      <c r="F885" s="1" t="s">
        <v>149</v>
      </c>
      <c r="G885" s="1" t="s">
        <v>51</v>
      </c>
      <c r="H885" s="1" t="s">
        <v>80</v>
      </c>
      <c r="I885" s="1" t="s">
        <v>216</v>
      </c>
      <c r="J885" s="1" t="s">
        <v>217</v>
      </c>
      <c r="K885" s="1" t="s">
        <v>39</v>
      </c>
      <c r="L885" s="1" t="s">
        <v>145</v>
      </c>
      <c r="M885" s="1" t="s">
        <v>2791</v>
      </c>
      <c r="N885" s="1" t="s">
        <v>58</v>
      </c>
      <c r="O885" s="1">
        <v>1</v>
      </c>
      <c r="P885" s="3">
        <v>1620.87</v>
      </c>
      <c r="Q885" s="4">
        <v>0</v>
      </c>
      <c r="R885" s="4">
        <v>0</v>
      </c>
      <c r="S885" s="3">
        <v>1620.87</v>
      </c>
      <c r="T885" s="3">
        <v>1103.61</v>
      </c>
      <c r="U885" s="3">
        <v>517.26</v>
      </c>
      <c r="V885" s="1" t="s">
        <v>43</v>
      </c>
      <c r="W885" s="1" t="s">
        <v>44</v>
      </c>
      <c r="X885" s="3">
        <f>IF(OR(O885="",P885="",R885=""),"",O885*P885*(1-R885))</f>
        <v>1620.87</v>
      </c>
      <c r="Y885" s="3">
        <f>IF(OR(X885="",T885=""),"",X885-T885)</f>
        <v>517.26</v>
      </c>
      <c r="Z885" s="4">
        <f>IFERROR(Y885/X885,"")</f>
        <v>0.3191</v>
      </c>
      <c r="AA885" s="1">
        <f>IF(OR(C885="",D885=""),"",D885-C885)</f>
        <v>3</v>
      </c>
      <c r="AB885" s="1">
        <f>IF(C885="","",MONTH(C885))</f>
        <v>4</v>
      </c>
      <c r="AC885" s="1">
        <f>IF(C885="","",YEAR(C885))</f>
        <v>2025</v>
      </c>
      <c r="AD885" s="1" t="s">
        <v>45</v>
      </c>
      <c r="AE885" s="1" t="s">
        <v>46</v>
      </c>
      <c r="AF885" s="1" t="s">
        <v>47</v>
      </c>
    </row>
    <row r="886" spans="1:32" x14ac:dyDescent="0.25">
      <c r="A886" s="1">
        <v>886</v>
      </c>
      <c r="B886" s="1" t="s">
        <v>2792</v>
      </c>
      <c r="C886" s="2">
        <v>45674.77083333333</v>
      </c>
      <c r="D886" s="2">
        <v>45681.77083333333</v>
      </c>
      <c r="E886" s="1" t="s">
        <v>2793</v>
      </c>
      <c r="F886" s="1" t="s">
        <v>98</v>
      </c>
      <c r="G886" s="1" t="s">
        <v>114</v>
      </c>
      <c r="H886" s="1" t="s">
        <v>71</v>
      </c>
      <c r="I886" s="1" t="s">
        <v>201</v>
      </c>
      <c r="J886" s="1" t="s">
        <v>202</v>
      </c>
      <c r="K886" s="1" t="s">
        <v>39</v>
      </c>
      <c r="L886" s="1" t="s">
        <v>145</v>
      </c>
      <c r="M886" s="1" t="s">
        <v>2794</v>
      </c>
      <c r="N886" s="1" t="s">
        <v>58</v>
      </c>
      <c r="O886" s="1">
        <v>2</v>
      </c>
      <c r="P886" s="3">
        <v>2098.54</v>
      </c>
      <c r="Q886" s="4">
        <v>0.15</v>
      </c>
      <c r="R886" s="4">
        <v>0.15</v>
      </c>
      <c r="S886" s="3">
        <v>3567.52</v>
      </c>
      <c r="T886" s="3">
        <v>2411.8</v>
      </c>
      <c r="U886" s="3">
        <v>1155.72</v>
      </c>
      <c r="V886" s="1" t="s">
        <v>43</v>
      </c>
      <c r="W886" s="1" t="s">
        <v>44</v>
      </c>
      <c r="X886" s="3">
        <f>IF(OR(O886="",P886="",R886=""),"",O886*P886*(1-R886))</f>
        <v>3567.52</v>
      </c>
      <c r="Y886" s="3">
        <f>IF(OR(X886="",T886=""),"",X886-T886)</f>
        <v>1155.72</v>
      </c>
      <c r="Z886" s="4">
        <f>IFERROR(Y886/X886,"")</f>
        <v>0.324</v>
      </c>
      <c r="AA886" s="1">
        <f>IF(OR(C886="",D886=""),"",D886-C886)</f>
        <v>7</v>
      </c>
      <c r="AB886" s="1">
        <f>IF(C886="","",MONTH(C886))</f>
        <v>1</v>
      </c>
      <c r="AC886" s="1">
        <f>IF(C886="","",YEAR(C886))</f>
        <v>2025</v>
      </c>
      <c r="AD886" s="1" t="s">
        <v>45</v>
      </c>
      <c r="AE886" s="1" t="s">
        <v>46</v>
      </c>
      <c r="AF886" s="1" t="s">
        <v>47</v>
      </c>
    </row>
    <row r="887" spans="1:32" x14ac:dyDescent="0.25">
      <c r="A887" s="1">
        <v>887</v>
      </c>
      <c r="B887" s="1" t="s">
        <v>2795</v>
      </c>
      <c r="C887" s="2">
        <v>45295.77083333333</v>
      </c>
      <c r="D887" s="2">
        <v>45295.77083333333</v>
      </c>
      <c r="E887" s="1" t="s">
        <v>2796</v>
      </c>
      <c r="F887" s="1" t="s">
        <v>186</v>
      </c>
      <c r="G887" s="1" t="s">
        <v>35</v>
      </c>
      <c r="H887" s="1" t="s">
        <v>36</v>
      </c>
      <c r="I887" s="1" t="s">
        <v>37</v>
      </c>
      <c r="J887" s="1" t="s">
        <v>38</v>
      </c>
      <c r="K887" s="1" t="s">
        <v>55</v>
      </c>
      <c r="L887" s="1" t="s">
        <v>56</v>
      </c>
      <c r="M887" s="1" t="s">
        <v>2797</v>
      </c>
      <c r="N887" s="1" t="s">
        <v>76</v>
      </c>
      <c r="O887" s="1">
        <v>1</v>
      </c>
      <c r="P887" s="3">
        <v>2167.08</v>
      </c>
      <c r="Q887" s="4">
        <v>0.25</v>
      </c>
      <c r="R887" s="4">
        <v>0.25</v>
      </c>
      <c r="S887" s="3">
        <v>1625.31</v>
      </c>
      <c r="T887" s="3">
        <v>1157.89</v>
      </c>
      <c r="U887" s="3">
        <v>467.42</v>
      </c>
      <c r="V887" s="1" t="s">
        <v>43</v>
      </c>
      <c r="W887" s="1" t="s">
        <v>44</v>
      </c>
      <c r="X887" s="3">
        <f>IF(OR(O887="",P887="",R887=""),"",O887*P887*(1-R887))</f>
        <v>1625.31</v>
      </c>
      <c r="Y887" s="3">
        <f>IF(OR(X887="",T887=""),"",X887-T887)</f>
        <v>467.42</v>
      </c>
      <c r="Z887" s="4">
        <f>IFERROR(Y887/X887,"")</f>
        <v>0.2876</v>
      </c>
      <c r="AA887" s="1">
        <f>IF(OR(C887="",D887=""),"",D887-C887)</f>
        <v>0</v>
      </c>
      <c r="AB887" s="1">
        <f>IF(C887="","",MONTH(C887))</f>
        <v>1</v>
      </c>
      <c r="AC887" s="1">
        <f>IF(C887="","",YEAR(C887))</f>
        <v>2024</v>
      </c>
      <c r="AD887" s="1" t="s">
        <v>45</v>
      </c>
      <c r="AE887" s="1" t="s">
        <v>46</v>
      </c>
      <c r="AF887" s="1" t="s">
        <v>47</v>
      </c>
    </row>
    <row r="888" spans="1:32" s="15" customFormat="1" x14ac:dyDescent="0.25">
      <c r="A888" s="16">
        <v>888</v>
      </c>
      <c r="B888" s="16" t="s">
        <v>2798</v>
      </c>
      <c r="C888" s="17">
        <v>45772.77083333333</v>
      </c>
      <c r="D888" s="17">
        <v>45779.77083333333</v>
      </c>
      <c r="E888" s="16" t="s">
        <v>2799</v>
      </c>
      <c r="F888" s="16" t="s">
        <v>70</v>
      </c>
      <c r="G888" s="16" t="s">
        <v>114</v>
      </c>
      <c r="H888" s="16" t="s">
        <v>71</v>
      </c>
      <c r="I888" s="16" t="s">
        <v>277</v>
      </c>
      <c r="J888" s="16" t="s">
        <v>278</v>
      </c>
      <c r="K888" s="16" t="s">
        <v>93</v>
      </c>
      <c r="L888" s="16" t="s">
        <v>94</v>
      </c>
      <c r="M888" s="16" t="s">
        <v>2800</v>
      </c>
      <c r="N888" s="16" t="s">
        <v>64</v>
      </c>
      <c r="O888" s="16">
        <v>7</v>
      </c>
      <c r="P888" s="18">
        <v>3989.9</v>
      </c>
      <c r="Q888" s="19">
        <v>0.15</v>
      </c>
      <c r="R888" s="19">
        <v>0.15</v>
      </c>
      <c r="S888" s="18">
        <v>23739.9</v>
      </c>
      <c r="T888" s="18">
        <v>17716.52</v>
      </c>
      <c r="U888" s="18">
        <v>6023.38</v>
      </c>
      <c r="V888" s="16" t="s">
        <v>43</v>
      </c>
      <c r="W888" s="16" t="s">
        <v>85</v>
      </c>
      <c r="X888" s="18">
        <f>IF(OR(O888="",P888="",R888=""),"",O888*P888*(1-R888))</f>
        <v>23739.91</v>
      </c>
      <c r="Y888" s="18">
        <f>IF(OR(X888="",T888=""),"",X888-T888)</f>
        <v>6023.39</v>
      </c>
      <c r="Z888" s="19">
        <f>IFERROR(Y888/X888,"")</f>
        <v>0.2537</v>
      </c>
      <c r="AA888" s="16">
        <f>IF(OR(C888="",D888=""),"",D888-C888)</f>
        <v>7</v>
      </c>
      <c r="AB888" s="16">
        <f>IF(C888="","",MONTH(C888))</f>
        <v>4</v>
      </c>
      <c r="AC888" s="16">
        <f>IF(C888="","",YEAR(C888))</f>
        <v>2025</v>
      </c>
      <c r="AD888" s="16" t="s">
        <v>86</v>
      </c>
      <c r="AE888" s="16" t="s">
        <v>66</v>
      </c>
      <c r="AF888" s="16" t="s">
        <v>87</v>
      </c>
    </row>
    <row r="889" spans="1:32" x14ac:dyDescent="0.25">
      <c r="A889" s="1">
        <v>889</v>
      </c>
      <c r="B889" s="1" t="s">
        <v>2801</v>
      </c>
      <c r="C889" s="2">
        <v>45454.77083333333</v>
      </c>
      <c r="D889" s="2">
        <v>45460.77083333333</v>
      </c>
      <c r="E889" s="1" t="s">
        <v>2802</v>
      </c>
      <c r="F889" s="1" t="s">
        <v>149</v>
      </c>
      <c r="G889" s="1" t="s">
        <v>51</v>
      </c>
      <c r="H889" s="1" t="s">
        <v>71</v>
      </c>
      <c r="I889" s="1" t="s">
        <v>103</v>
      </c>
      <c r="J889" s="1" t="s">
        <v>104</v>
      </c>
      <c r="K889" s="1" t="s">
        <v>39</v>
      </c>
      <c r="L889" s="1" t="s">
        <v>62</v>
      </c>
      <c r="M889" s="1" t="s">
        <v>2803</v>
      </c>
      <c r="N889" s="1" t="s">
        <v>76</v>
      </c>
      <c r="O889" s="1">
        <v>4</v>
      </c>
      <c r="P889" s="3">
        <v>4176.13</v>
      </c>
      <c r="Q889" s="4">
        <v>0</v>
      </c>
      <c r="R889" s="4">
        <v>0</v>
      </c>
      <c r="S889" s="3">
        <v>16704.52</v>
      </c>
      <c r="T889" s="3">
        <v>10158.28</v>
      </c>
      <c r="U889" s="3">
        <v>6546.24</v>
      </c>
      <c r="V889" s="1" t="s">
        <v>43</v>
      </c>
      <c r="W889" s="1" t="s">
        <v>44</v>
      </c>
      <c r="X889" s="3">
        <f>IF(OR(O889="",P889="",R889=""),"",O889*P889*(1-R889))</f>
        <v>16704.52</v>
      </c>
      <c r="Y889" s="3">
        <f>IF(OR(X889="",T889=""),"",X889-T889)</f>
        <v>6546.24</v>
      </c>
      <c r="Z889" s="4">
        <f>IFERROR(Y889/X889,"")</f>
        <v>0.3919</v>
      </c>
      <c r="AA889" s="1">
        <f>IF(OR(C889="",D889=""),"",D889-C889)</f>
        <v>6</v>
      </c>
      <c r="AB889" s="1">
        <f>IF(C889="","",MONTH(C889))</f>
        <v>6</v>
      </c>
      <c r="AC889" s="1">
        <f>IF(C889="","",YEAR(C889))</f>
        <v>2024</v>
      </c>
      <c r="AD889" s="1" t="s">
        <v>45</v>
      </c>
      <c r="AE889" s="1" t="s">
        <v>46</v>
      </c>
      <c r="AF889" s="1" t="s">
        <v>47</v>
      </c>
    </row>
    <row r="890" spans="1:32" s="15" customFormat="1" x14ac:dyDescent="0.25">
      <c r="A890" s="16">
        <v>890</v>
      </c>
      <c r="B890" s="16" t="s">
        <v>2804</v>
      </c>
      <c r="C890" s="17">
        <v>45874.77083333333</v>
      </c>
      <c r="D890" s="17">
        <v>45875.77083333333</v>
      </c>
      <c r="E890" s="16" t="s">
        <v>2805</v>
      </c>
      <c r="F890" s="16" t="s">
        <v>139</v>
      </c>
      <c r="G890" s="16" t="s">
        <v>51</v>
      </c>
      <c r="H890" s="16" t="s">
        <v>80</v>
      </c>
      <c r="I890" s="16" t="s">
        <v>81</v>
      </c>
      <c r="J890" s="16" t="s">
        <v>82</v>
      </c>
      <c r="K890" s="16" t="s">
        <v>39</v>
      </c>
      <c r="L890" s="16" t="s">
        <v>62</v>
      </c>
      <c r="M890" s="16" t="s">
        <v>2806</v>
      </c>
      <c r="N890" s="16" t="s">
        <v>76</v>
      </c>
      <c r="O890" s="16">
        <v>4</v>
      </c>
      <c r="P890" s="18">
        <v>3523.64</v>
      </c>
      <c r="Q890" s="19">
        <v>0.1</v>
      </c>
      <c r="R890" s="19">
        <v>0.1</v>
      </c>
      <c r="S890" s="18">
        <v>12685.1</v>
      </c>
      <c r="T890" s="18">
        <v>10779.56</v>
      </c>
      <c r="U890" s="18">
        <v>1905.54</v>
      </c>
      <c r="V890" s="16" t="s">
        <v>121</v>
      </c>
      <c r="W890" s="16" t="s">
        <v>85</v>
      </c>
      <c r="X890" s="18">
        <f>IF(OR(O890="",P890="",R890=""),"",O890*P890*(1-R890))</f>
        <v>12685.1</v>
      </c>
      <c r="Y890" s="18">
        <f>IF(OR(X890="",T890=""),"",X890-T890)</f>
        <v>1905.54</v>
      </c>
      <c r="Z890" s="19">
        <f>IFERROR(Y890/X890,"")</f>
        <v>0.1502</v>
      </c>
      <c r="AA890" s="16">
        <f>IF(OR(C890="",D890=""),"",D890-C890)</f>
        <v>1</v>
      </c>
      <c r="AB890" s="16">
        <f>IF(C890="","",MONTH(C890))</f>
        <v>8</v>
      </c>
      <c r="AC890" s="16">
        <f>IF(C890="","",YEAR(C890))</f>
        <v>2025</v>
      </c>
      <c r="AD890" s="16" t="s">
        <v>86</v>
      </c>
      <c r="AE890" s="16" t="s">
        <v>66</v>
      </c>
      <c r="AF890" s="16" t="s">
        <v>160</v>
      </c>
    </row>
    <row r="891" spans="1:32" s="15" customFormat="1" x14ac:dyDescent="0.25">
      <c r="A891" s="16">
        <v>891</v>
      </c>
      <c r="B891" s="16" t="s">
        <v>2807</v>
      </c>
      <c r="C891" s="17">
        <v>45725.77083333333</v>
      </c>
      <c r="D891" s="17">
        <v>45726.77083333333</v>
      </c>
      <c r="E891" s="16" t="s">
        <v>931</v>
      </c>
      <c r="F891" s="16" t="s">
        <v>108</v>
      </c>
      <c r="G891" s="16" t="s">
        <v>114</v>
      </c>
      <c r="H891" s="16" t="s">
        <v>80</v>
      </c>
      <c r="I891" s="16" t="s">
        <v>91</v>
      </c>
      <c r="J891" s="16" t="s">
        <v>92</v>
      </c>
      <c r="K891" s="16" t="s">
        <v>39</v>
      </c>
      <c r="L891" s="16" t="s">
        <v>145</v>
      </c>
      <c r="M891" s="16" t="s">
        <v>2808</v>
      </c>
      <c r="N891" s="16" t="s">
        <v>64</v>
      </c>
      <c r="O891" s="16">
        <v>2</v>
      </c>
      <c r="P891" s="18">
        <v>3922.08</v>
      </c>
      <c r="Q891" s="19">
        <v>0.25</v>
      </c>
      <c r="R891" s="19">
        <v>0.25</v>
      </c>
      <c r="S891" s="18">
        <v>5883.12</v>
      </c>
      <c r="T891" s="18">
        <v>4647.91</v>
      </c>
      <c r="U891" s="18">
        <v>1235.21</v>
      </c>
      <c r="V891" s="16" t="s">
        <v>43</v>
      </c>
      <c r="W891" s="16" t="s">
        <v>122</v>
      </c>
      <c r="X891" s="18">
        <f>IF(OR(O891="",P891="",R891=""),"",O891*P891*(1-R891))</f>
        <v>5883.12</v>
      </c>
      <c r="Y891" s="18">
        <f>IF(OR(X891="",T891=""),"",X891-T891)</f>
        <v>1235.21</v>
      </c>
      <c r="Z891" s="19">
        <f>IFERROR(Y891/X891,"")</f>
        <v>0.21</v>
      </c>
      <c r="AA891" s="16">
        <f>IF(OR(C891="",D891=""),"",D891-C891)</f>
        <v>1</v>
      </c>
      <c r="AB891" s="16">
        <f>IF(C891="","",MONTH(C891))</f>
        <v>3</v>
      </c>
      <c r="AC891" s="16">
        <f>IF(C891="","",YEAR(C891))</f>
        <v>2025</v>
      </c>
      <c r="AD891" s="16" t="s">
        <v>86</v>
      </c>
      <c r="AE891" s="16" t="s">
        <v>66</v>
      </c>
      <c r="AF891" s="16" t="s">
        <v>198</v>
      </c>
    </row>
    <row r="892" spans="1:32" x14ac:dyDescent="0.25">
      <c r="A892" s="1">
        <v>892</v>
      </c>
      <c r="B892" s="1" t="s">
        <v>2809</v>
      </c>
      <c r="C892" s="2">
        <v>45426.77083333333</v>
      </c>
      <c r="D892" s="2">
        <v>45432.77083333333</v>
      </c>
      <c r="E892" s="1" t="s">
        <v>2810</v>
      </c>
      <c r="F892" s="1" t="s">
        <v>34</v>
      </c>
      <c r="G892" s="1" t="s">
        <v>35</v>
      </c>
      <c r="H892" s="1" t="s">
        <v>80</v>
      </c>
      <c r="I892" s="1" t="s">
        <v>216</v>
      </c>
      <c r="J892" s="1" t="s">
        <v>217</v>
      </c>
      <c r="K892" s="1" t="s">
        <v>39</v>
      </c>
      <c r="L892" s="1" t="s">
        <v>145</v>
      </c>
      <c r="M892" s="1" t="s">
        <v>2811</v>
      </c>
      <c r="N892" s="1" t="s">
        <v>76</v>
      </c>
      <c r="O892" s="1">
        <v>6</v>
      </c>
      <c r="P892" s="3">
        <v>2909.56</v>
      </c>
      <c r="Q892" s="4">
        <v>0.2</v>
      </c>
      <c r="R892" s="4">
        <v>0.2</v>
      </c>
      <c r="S892" s="3">
        <v>13965.89</v>
      </c>
      <c r="T892" s="3">
        <v>11646.12</v>
      </c>
      <c r="U892" s="3">
        <v>2319.77</v>
      </c>
      <c r="V892" s="1" t="s">
        <v>43</v>
      </c>
      <c r="W892" s="1" t="s">
        <v>44</v>
      </c>
      <c r="X892" s="3">
        <f>IF(OR(O892="",P892="",R892=""),"",O892*P892*(1-R892))</f>
        <v>13965.89</v>
      </c>
      <c r="Y892" s="3">
        <f>IF(OR(X892="",T892=""),"",X892-T892)</f>
        <v>2319.77</v>
      </c>
      <c r="Z892" s="4">
        <f>IFERROR(Y892/X892,"")</f>
        <v>0.1661</v>
      </c>
      <c r="AA892" s="1">
        <f>IF(OR(C892="",D892=""),"",D892-C892)</f>
        <v>6</v>
      </c>
      <c r="AB892" s="1">
        <f>IF(C892="","",MONTH(C892))</f>
        <v>5</v>
      </c>
      <c r="AC892" s="1">
        <f>IF(C892="","",YEAR(C892))</f>
        <v>2024</v>
      </c>
      <c r="AD892" s="1" t="s">
        <v>45</v>
      </c>
      <c r="AE892" s="1" t="s">
        <v>46</v>
      </c>
      <c r="AF892" s="1" t="s">
        <v>47</v>
      </c>
    </row>
    <row r="893" spans="1:32" s="15" customFormat="1" x14ac:dyDescent="0.25">
      <c r="A893" s="16">
        <v>893</v>
      </c>
      <c r="B893" s="16" t="s">
        <v>2812</v>
      </c>
      <c r="C893" s="17">
        <v>45572.77083333333</v>
      </c>
      <c r="D893" s="17">
        <v>45573.77083333333</v>
      </c>
      <c r="E893" s="16" t="s">
        <v>2813</v>
      </c>
      <c r="F893" s="16" t="s">
        <v>294</v>
      </c>
      <c r="G893" s="16" t="s">
        <v>109</v>
      </c>
      <c r="H893" s="16" t="s">
        <v>71</v>
      </c>
      <c r="I893" s="16" t="s">
        <v>277</v>
      </c>
      <c r="J893" s="16" t="s">
        <v>278</v>
      </c>
      <c r="K893" s="16" t="s">
        <v>93</v>
      </c>
      <c r="L893" s="16" t="s">
        <v>305</v>
      </c>
      <c r="M893" s="16" t="s">
        <v>2814</v>
      </c>
      <c r="N893" s="16" t="s">
        <v>58</v>
      </c>
      <c r="O893" s="16">
        <v>5</v>
      </c>
      <c r="P893" s="18">
        <v>2407.97</v>
      </c>
      <c r="Q893" s="19">
        <v>0.1</v>
      </c>
      <c r="R893" s="19">
        <v>0.1</v>
      </c>
      <c r="S893" s="18">
        <v>10835.86</v>
      </c>
      <c r="T893" s="18">
        <v>6419.92</v>
      </c>
      <c r="U893" s="18">
        <v>4415.94</v>
      </c>
      <c r="V893" s="16" t="s">
        <v>178</v>
      </c>
      <c r="W893" s="16" t="s">
        <v>85</v>
      </c>
      <c r="X893" s="18">
        <f>IF(OR(O893="",P893="",R893=""),"",O893*P893*(1-R893))</f>
        <v>10835.87</v>
      </c>
      <c r="Y893" s="18">
        <f>IF(OR(X893="",T893=""),"",X893-T893)</f>
        <v>4415.95</v>
      </c>
      <c r="Z893" s="19">
        <f>IFERROR(Y893/X893,"")</f>
        <v>0.4075</v>
      </c>
      <c r="AA893" s="16">
        <f>IF(OR(C893="",D893=""),"",D893-C893)</f>
        <v>1</v>
      </c>
      <c r="AB893" s="16">
        <f>IF(C893="","",MONTH(C893))</f>
        <v>10</v>
      </c>
      <c r="AC893" s="16">
        <f>IF(C893="","",YEAR(C893))</f>
        <v>2024</v>
      </c>
      <c r="AD893" s="16" t="s">
        <v>86</v>
      </c>
      <c r="AE893" s="16" t="s">
        <v>66</v>
      </c>
      <c r="AF893" s="16" t="s">
        <v>296</v>
      </c>
    </row>
    <row r="894" spans="1:32" x14ac:dyDescent="0.25">
      <c r="A894" s="1">
        <v>894</v>
      </c>
      <c r="B894" s="1" t="s">
        <v>2815</v>
      </c>
      <c r="C894" s="2">
        <v>45758.77083333333</v>
      </c>
      <c r="D894" s="2">
        <v>45764.77083333333</v>
      </c>
      <c r="E894" s="1" t="s">
        <v>2816</v>
      </c>
      <c r="F894" s="1" t="s">
        <v>61</v>
      </c>
      <c r="G894" s="1" t="s">
        <v>51</v>
      </c>
      <c r="H894" s="1" t="s">
        <v>52</v>
      </c>
      <c r="I894" s="1" t="s">
        <v>258</v>
      </c>
      <c r="J894" s="1" t="s">
        <v>259</v>
      </c>
      <c r="K894" s="1" t="s">
        <v>93</v>
      </c>
      <c r="L894" s="1" t="s">
        <v>99</v>
      </c>
      <c r="M894" s="1" t="s">
        <v>2817</v>
      </c>
      <c r="N894" s="1" t="s">
        <v>58</v>
      </c>
      <c r="O894" s="1">
        <v>1</v>
      </c>
      <c r="P894" s="3">
        <v>726.89</v>
      </c>
      <c r="Q894" s="4">
        <v>0.2</v>
      </c>
      <c r="R894" s="4">
        <v>0.2</v>
      </c>
      <c r="S894" s="3">
        <v>581.51</v>
      </c>
      <c r="T894" s="3">
        <v>423.86</v>
      </c>
      <c r="U894" s="3">
        <v>157.65</v>
      </c>
      <c r="V894" s="1" t="s">
        <v>43</v>
      </c>
      <c r="W894" s="1" t="s">
        <v>44</v>
      </c>
      <c r="X894" s="3">
        <f>IF(OR(O894="",P894="",R894=""),"",O894*P894*(1-R894))</f>
        <v>581.51</v>
      </c>
      <c r="Y894" s="3">
        <f>IF(OR(X894="",T894=""),"",X894-T894)</f>
        <v>157.65</v>
      </c>
      <c r="Z894" s="4">
        <f>IFERROR(Y894/X894,"")</f>
        <v>0.2711</v>
      </c>
      <c r="AA894" s="1">
        <f>IF(OR(C894="",D894=""),"",D894-C894)</f>
        <v>6</v>
      </c>
      <c r="AB894" s="1">
        <f>IF(C894="","",MONTH(C894))</f>
        <v>4</v>
      </c>
      <c r="AC894" s="1">
        <f>IF(C894="","",YEAR(C894))</f>
        <v>2025</v>
      </c>
      <c r="AD894" s="1" t="s">
        <v>45</v>
      </c>
      <c r="AE894" s="1" t="s">
        <v>46</v>
      </c>
      <c r="AF894" s="1" t="s">
        <v>47</v>
      </c>
    </row>
    <row r="895" spans="1:32" s="15" customFormat="1" x14ac:dyDescent="0.25">
      <c r="A895" s="16">
        <v>895</v>
      </c>
      <c r="B895" s="16" t="s">
        <v>2818</v>
      </c>
      <c r="C895" s="17">
        <v>45448.77083333333</v>
      </c>
      <c r="D895" s="17">
        <v>45450.77083333333</v>
      </c>
      <c r="E895" s="16" t="s">
        <v>2819</v>
      </c>
      <c r="F895" s="16" t="s">
        <v>149</v>
      </c>
      <c r="G895" s="16" t="s">
        <v>109</v>
      </c>
      <c r="H895" s="16" t="s">
        <v>71</v>
      </c>
      <c r="I895" s="16" t="s">
        <v>201</v>
      </c>
      <c r="J895" s="16" t="s">
        <v>202</v>
      </c>
      <c r="K895" s="16" t="s">
        <v>55</v>
      </c>
      <c r="L895" s="16" t="s">
        <v>56</v>
      </c>
      <c r="M895" s="16" t="s">
        <v>2820</v>
      </c>
      <c r="N895" s="16" t="s">
        <v>42</v>
      </c>
      <c r="O895" s="16">
        <v>3</v>
      </c>
      <c r="P895" s="18">
        <v>395.49</v>
      </c>
      <c r="Q895" s="19">
        <v>0.05</v>
      </c>
      <c r="R895" s="19">
        <v>0.05</v>
      </c>
      <c r="S895" s="18">
        <v>1127.15</v>
      </c>
      <c r="T895" s="18">
        <v>845.62</v>
      </c>
      <c r="U895" s="18">
        <v>281.53</v>
      </c>
      <c r="V895" s="16" t="s">
        <v>43</v>
      </c>
      <c r="W895" s="16" t="s">
        <v>122</v>
      </c>
      <c r="X895" s="18">
        <f>IF(OR(O895="",P895="",R895=""),"",O895*P895*(1-R895))</f>
        <v>1127.15</v>
      </c>
      <c r="Y895" s="18">
        <f>IF(OR(X895="",T895=""),"",X895-T895)</f>
        <v>281.53</v>
      </c>
      <c r="Z895" s="19">
        <f>IFERROR(Y895/X895,"")</f>
        <v>0.2498</v>
      </c>
      <c r="AA895" s="16">
        <f>IF(OR(C895="",D895=""),"",D895-C895)</f>
        <v>2</v>
      </c>
      <c r="AB895" s="16">
        <f>IF(C895="","",MONTH(C895))</f>
        <v>6</v>
      </c>
      <c r="AC895" s="16">
        <f>IF(C895="","",YEAR(C895))</f>
        <v>2024</v>
      </c>
      <c r="AD895" s="16" t="s">
        <v>86</v>
      </c>
      <c r="AE895" s="16" t="s">
        <v>66</v>
      </c>
      <c r="AF895" s="16" t="s">
        <v>198</v>
      </c>
    </row>
    <row r="896" spans="1:32" x14ac:dyDescent="0.25">
      <c r="A896" s="1">
        <v>896</v>
      </c>
      <c r="B896" s="1" t="s">
        <v>2821</v>
      </c>
      <c r="C896" s="2">
        <v>45343.77083333333</v>
      </c>
      <c r="D896" s="2">
        <v>45350.77083333333</v>
      </c>
      <c r="E896" s="1" t="s">
        <v>2822</v>
      </c>
      <c r="F896" s="1" t="s">
        <v>61</v>
      </c>
      <c r="G896" s="1" t="s">
        <v>114</v>
      </c>
      <c r="H896" s="1" t="s">
        <v>71</v>
      </c>
      <c r="I896" s="1" t="s">
        <v>72</v>
      </c>
      <c r="J896" s="1" t="s">
        <v>73</v>
      </c>
      <c r="K896" s="1" t="s">
        <v>55</v>
      </c>
      <c r="L896" s="1" t="s">
        <v>56</v>
      </c>
      <c r="M896" s="1" t="s">
        <v>2823</v>
      </c>
      <c r="N896" s="1" t="s">
        <v>64</v>
      </c>
      <c r="O896" s="1">
        <v>6</v>
      </c>
      <c r="P896" s="3">
        <v>4254.05</v>
      </c>
      <c r="Q896" s="4">
        <v>0</v>
      </c>
      <c r="R896" s="4">
        <v>0</v>
      </c>
      <c r="S896" s="3">
        <v>25524.3</v>
      </c>
      <c r="T896" s="3">
        <v>16711.93</v>
      </c>
      <c r="U896" s="3">
        <v>8812.37</v>
      </c>
      <c r="V896" s="1" t="s">
        <v>43</v>
      </c>
      <c r="W896" s="1" t="s">
        <v>44</v>
      </c>
      <c r="X896" s="3">
        <f>IF(OR(O896="",P896="",R896=""),"",O896*P896*(1-R896))</f>
        <v>25524.3</v>
      </c>
      <c r="Y896" s="3">
        <f>IF(OR(X896="",T896=""),"",X896-T896)</f>
        <v>8812.37</v>
      </c>
      <c r="Z896" s="4">
        <f>IFERROR(Y896/X896,"")</f>
        <v>0.3453</v>
      </c>
      <c r="AA896" s="1">
        <f>IF(OR(C896="",D896=""),"",D896-C896)</f>
        <v>7</v>
      </c>
      <c r="AB896" s="1">
        <f>IF(C896="","",MONTH(C896))</f>
        <v>2</v>
      </c>
      <c r="AC896" s="1">
        <f>IF(C896="","",YEAR(C896))</f>
        <v>2024</v>
      </c>
      <c r="AD896" s="1" t="s">
        <v>45</v>
      </c>
      <c r="AE896" s="1" t="s">
        <v>46</v>
      </c>
      <c r="AF896" s="1" t="s">
        <v>47</v>
      </c>
    </row>
    <row r="897" spans="1:32" s="15" customFormat="1" x14ac:dyDescent="0.25">
      <c r="A897" s="16">
        <v>897</v>
      </c>
      <c r="B897" s="16" t="s">
        <v>2824</v>
      </c>
      <c r="C897" s="17">
        <v>45600.77083333333</v>
      </c>
      <c r="D897" s="17">
        <v>45605.77083333333</v>
      </c>
      <c r="E897" s="16" t="s">
        <v>2825</v>
      </c>
      <c r="F897" s="16" t="s">
        <v>70</v>
      </c>
      <c r="G897" s="16" t="s">
        <v>35</v>
      </c>
      <c r="H897" s="16" t="s">
        <v>71</v>
      </c>
      <c r="I897" s="16" t="s">
        <v>211</v>
      </c>
      <c r="J897" s="16" t="s">
        <v>212</v>
      </c>
      <c r="K897" s="16" t="s">
        <v>55</v>
      </c>
      <c r="L897" s="16" t="s">
        <v>83</v>
      </c>
      <c r="M897" s="16" t="s">
        <v>2826</v>
      </c>
      <c r="N897" s="16" t="s">
        <v>58</v>
      </c>
      <c r="O897" s="16">
        <v>4</v>
      </c>
      <c r="P897" s="18">
        <v>711.18</v>
      </c>
      <c r="Q897" s="19">
        <v>0.15</v>
      </c>
      <c r="R897" s="19">
        <v>0.15</v>
      </c>
      <c r="S897" s="18">
        <v>2418.01</v>
      </c>
      <c r="T897" s="18">
        <v>1441.89</v>
      </c>
      <c r="U897" s="18">
        <v>976.12</v>
      </c>
      <c r="V897" s="16" t="s">
        <v>131</v>
      </c>
      <c r="W897" s="16" t="s">
        <v>122</v>
      </c>
      <c r="X897" s="18">
        <f>IF(OR(O897="",P897="",R897=""),"",O897*P897*(1-R897))</f>
        <v>2418.01</v>
      </c>
      <c r="Y897" s="18">
        <f>IF(OR(X897="",T897=""),"",X897-T897)</f>
        <v>976.12</v>
      </c>
      <c r="Z897" s="19">
        <f>IFERROR(Y897/X897,"")</f>
        <v>0.4037</v>
      </c>
      <c r="AA897" s="16">
        <f>IF(OR(C897="",D897=""),"",D897-C897)</f>
        <v>5</v>
      </c>
      <c r="AB897" s="16">
        <f>IF(C897="","",MONTH(C897))</f>
        <v>11</v>
      </c>
      <c r="AC897" s="16">
        <f>IF(C897="","",YEAR(C897))</f>
        <v>2024</v>
      </c>
      <c r="AD897" s="16" t="s">
        <v>86</v>
      </c>
      <c r="AE897" s="16" t="s">
        <v>66</v>
      </c>
      <c r="AF897" s="16" t="s">
        <v>132</v>
      </c>
    </row>
    <row r="898" spans="1:32" s="15" customFormat="1" x14ac:dyDescent="0.25">
      <c r="A898" s="16">
        <v>898</v>
      </c>
      <c r="B898" s="16" t="s">
        <v>2827</v>
      </c>
      <c r="C898" s="17">
        <v>45649.77083333333</v>
      </c>
      <c r="D898" s="17">
        <v>45650.77083333333</v>
      </c>
      <c r="E898" s="16" t="s">
        <v>2828</v>
      </c>
      <c r="F898" s="16" t="s">
        <v>79</v>
      </c>
      <c r="G898" s="16" t="s">
        <v>51</v>
      </c>
      <c r="H898" s="16" t="s">
        <v>71</v>
      </c>
      <c r="I898" s="16" t="s">
        <v>277</v>
      </c>
      <c r="J898" s="16" t="s">
        <v>278</v>
      </c>
      <c r="K898" s="16" t="s">
        <v>93</v>
      </c>
      <c r="L898" s="16" t="s">
        <v>99</v>
      </c>
      <c r="M898" s="16" t="s">
        <v>2829</v>
      </c>
      <c r="N898" s="16" t="s">
        <v>42</v>
      </c>
      <c r="O898" s="16">
        <v>1</v>
      </c>
      <c r="P898" s="18">
        <v>3693.03</v>
      </c>
      <c r="Q898" s="19">
        <v>0.05</v>
      </c>
      <c r="R898" s="19">
        <v>0.05</v>
      </c>
      <c r="S898" s="18">
        <v>3508.38</v>
      </c>
      <c r="T898" s="18">
        <v>2828.06</v>
      </c>
      <c r="U898" s="18">
        <v>680.32</v>
      </c>
      <c r="V898" s="16" t="s">
        <v>178</v>
      </c>
      <c r="W898" s="16" t="s">
        <v>122</v>
      </c>
      <c r="X898" s="18">
        <f>IF(OR(O898="",P898="",R898=""),"",O898*P898*(1-R898))</f>
        <v>3508.38</v>
      </c>
      <c r="Y898" s="18">
        <f>IF(OR(X898="",T898=""),"",X898-T898)</f>
        <v>680.32</v>
      </c>
      <c r="Z898" s="19">
        <f>IFERROR(Y898/X898,"")</f>
        <v>0.1939</v>
      </c>
      <c r="AA898" s="16">
        <f>IF(OR(C898="",D898=""),"",D898-C898)</f>
        <v>1</v>
      </c>
      <c r="AB898" s="16">
        <f>IF(C898="","",MONTH(C898))</f>
        <v>12</v>
      </c>
      <c r="AC898" s="16">
        <f>IF(C898="","",YEAR(C898))</f>
        <v>2024</v>
      </c>
      <c r="AD898" s="16" t="s">
        <v>86</v>
      </c>
      <c r="AE898" s="16" t="s">
        <v>66</v>
      </c>
      <c r="AF898" s="16" t="s">
        <v>179</v>
      </c>
    </row>
    <row r="899" spans="1:32" x14ac:dyDescent="0.25">
      <c r="A899" s="1">
        <v>899</v>
      </c>
      <c r="B899" s="1" t="s">
        <v>2830</v>
      </c>
      <c r="C899" s="2">
        <v>45775.77083333333</v>
      </c>
      <c r="D899" s="2">
        <v>45779.77083333333</v>
      </c>
      <c r="E899" s="1" t="s">
        <v>2186</v>
      </c>
      <c r="F899" s="1" t="s">
        <v>163</v>
      </c>
      <c r="G899" s="1" t="s">
        <v>109</v>
      </c>
      <c r="H899" s="1" t="s">
        <v>36</v>
      </c>
      <c r="I899" s="1" t="s">
        <v>266</v>
      </c>
      <c r="J899" s="1" t="s">
        <v>267</v>
      </c>
      <c r="K899" s="1" t="s">
        <v>39</v>
      </c>
      <c r="L899" s="1" t="s">
        <v>40</v>
      </c>
      <c r="M899" s="1" t="s">
        <v>2831</v>
      </c>
      <c r="N899" s="1" t="s">
        <v>64</v>
      </c>
      <c r="O899" s="1">
        <v>4</v>
      </c>
      <c r="P899" s="3">
        <v>1786.65</v>
      </c>
      <c r="Q899" s="4">
        <v>0.05</v>
      </c>
      <c r="R899" s="4">
        <v>0.05</v>
      </c>
      <c r="S899" s="3">
        <v>6789.27</v>
      </c>
      <c r="T899" s="3">
        <v>5626.43</v>
      </c>
      <c r="U899" s="3">
        <v>1162.84</v>
      </c>
      <c r="V899" s="1" t="s">
        <v>43</v>
      </c>
      <c r="W899" s="1" t="s">
        <v>44</v>
      </c>
      <c r="X899" s="3">
        <f>IF(OR(O899="",P899="",R899=""),"",O899*P899*(1-R899))</f>
        <v>6789.27</v>
      </c>
      <c r="Y899" s="3">
        <f>IF(OR(X899="",T899=""),"",X899-T899)</f>
        <v>1162.84</v>
      </c>
      <c r="Z899" s="4">
        <f>IFERROR(Y899/X899,"")</f>
        <v>0.1713</v>
      </c>
      <c r="AA899" s="1">
        <f>IF(OR(C899="",D899=""),"",D899-C899)</f>
        <v>4</v>
      </c>
      <c r="AB899" s="1">
        <f>IF(C899="","",MONTH(C899))</f>
        <v>4</v>
      </c>
      <c r="AC899" s="1">
        <f>IF(C899="","",YEAR(C899))</f>
        <v>2025</v>
      </c>
      <c r="AD899" s="1" t="s">
        <v>45</v>
      </c>
      <c r="AE899" s="1" t="s">
        <v>46</v>
      </c>
      <c r="AF899" s="1" t="s">
        <v>47</v>
      </c>
    </row>
    <row r="900" spans="1:32" x14ac:dyDescent="0.25">
      <c r="A900" s="1">
        <v>900</v>
      </c>
      <c r="B900" s="1" t="s">
        <v>2832</v>
      </c>
      <c r="C900" s="2">
        <v>45444.77083333333</v>
      </c>
      <c r="D900" s="2">
        <v>45450.77083333333</v>
      </c>
      <c r="E900" s="1" t="s">
        <v>2833</v>
      </c>
      <c r="F900" s="1" t="s">
        <v>90</v>
      </c>
      <c r="G900" s="1" t="s">
        <v>35</v>
      </c>
      <c r="H900" s="1" t="s">
        <v>36</v>
      </c>
      <c r="I900" s="1" t="s">
        <v>384</v>
      </c>
      <c r="J900" s="1" t="s">
        <v>385</v>
      </c>
      <c r="K900" s="1" t="s">
        <v>55</v>
      </c>
      <c r="L900" s="1" t="s">
        <v>56</v>
      </c>
      <c r="M900" s="1" t="s">
        <v>2834</v>
      </c>
      <c r="N900" s="1" t="s">
        <v>64</v>
      </c>
      <c r="O900" s="1">
        <v>4</v>
      </c>
      <c r="P900" s="3">
        <v>1536.7</v>
      </c>
      <c r="Q900" s="4">
        <v>0.2</v>
      </c>
      <c r="R900" s="4">
        <v>0.2</v>
      </c>
      <c r="S900" s="3">
        <v>4917.44</v>
      </c>
      <c r="T900" s="3">
        <v>3846.77</v>
      </c>
      <c r="U900" s="3">
        <v>1070.67</v>
      </c>
      <c r="V900" s="1" t="s">
        <v>43</v>
      </c>
      <c r="W900" s="1" t="s">
        <v>44</v>
      </c>
      <c r="X900" s="3">
        <f>IF(OR(O900="",P900="",R900=""),"",O900*P900*(1-R900))</f>
        <v>4917.44</v>
      </c>
      <c r="Y900" s="3">
        <f>IF(OR(X900="",T900=""),"",X900-T900)</f>
        <v>1070.67</v>
      </c>
      <c r="Z900" s="4">
        <f>IFERROR(Y900/X900,"")</f>
        <v>0.2177</v>
      </c>
      <c r="AA900" s="1">
        <f>IF(OR(C900="",D900=""),"",D900-C900)</f>
        <v>6</v>
      </c>
      <c r="AB900" s="1">
        <f>IF(C900="","",MONTH(C900))</f>
        <v>6</v>
      </c>
      <c r="AC900" s="1">
        <f>IF(C900="","",YEAR(C900))</f>
        <v>2024</v>
      </c>
      <c r="AD900" s="1" t="s">
        <v>45</v>
      </c>
      <c r="AE900" s="1" t="s">
        <v>46</v>
      </c>
      <c r="AF900" s="1" t="s">
        <v>47</v>
      </c>
    </row>
    <row r="901" spans="1:32" s="15" customFormat="1" x14ac:dyDescent="0.25">
      <c r="A901" s="16">
        <v>901</v>
      </c>
      <c r="B901" s="16" t="s">
        <v>2835</v>
      </c>
      <c r="C901" s="17">
        <v>45803.77083333333</v>
      </c>
      <c r="D901" s="17">
        <v>45810.77083333333</v>
      </c>
      <c r="E901" s="16" t="s">
        <v>2836</v>
      </c>
      <c r="F901" s="16" t="s">
        <v>34</v>
      </c>
      <c r="G901" s="16" t="s">
        <v>35</v>
      </c>
      <c r="H901" s="16" t="s">
        <v>36</v>
      </c>
      <c r="I901" s="16" t="s">
        <v>143</v>
      </c>
      <c r="J901" s="16" t="s">
        <v>144</v>
      </c>
      <c r="K901" s="16" t="s">
        <v>55</v>
      </c>
      <c r="L901" s="16" t="s">
        <v>83</v>
      </c>
      <c r="M901" s="16" t="s">
        <v>2837</v>
      </c>
      <c r="N901" s="16" t="s">
        <v>64</v>
      </c>
      <c r="O901" s="16">
        <v>5</v>
      </c>
      <c r="P901" s="18">
        <v>881.08</v>
      </c>
      <c r="Q901" s="19">
        <v>0.25</v>
      </c>
      <c r="R901" s="19">
        <v>0.25</v>
      </c>
      <c r="S901" s="18">
        <v>3304.05</v>
      </c>
      <c r="T901" s="18">
        <v>2279.41</v>
      </c>
      <c r="U901" s="18">
        <v>1024.64</v>
      </c>
      <c r="V901" s="16" t="s">
        <v>178</v>
      </c>
      <c r="W901" s="16" t="s">
        <v>85</v>
      </c>
      <c r="X901" s="18">
        <f>IF(OR(O901="",P901="",R901=""),"",O901*P901*(1-R901))</f>
        <v>3304.05</v>
      </c>
      <c r="Y901" s="18">
        <f>IF(OR(X901="",T901=""),"",X901-T901)</f>
        <v>1024.64</v>
      </c>
      <c r="Z901" s="19">
        <f>IFERROR(Y901/X901,"")</f>
        <v>0.3101</v>
      </c>
      <c r="AA901" s="16">
        <f>IF(OR(C901="",D901=""),"",D901-C901)</f>
        <v>7</v>
      </c>
      <c r="AB901" s="16">
        <f>IF(C901="","",MONTH(C901))</f>
        <v>5</v>
      </c>
      <c r="AC901" s="16">
        <f>IF(C901="","",YEAR(C901))</f>
        <v>2025</v>
      </c>
      <c r="AD901" s="16" t="s">
        <v>86</v>
      </c>
      <c r="AE901" s="16" t="s">
        <v>66</v>
      </c>
      <c r="AF901" s="16" t="s">
        <v>296</v>
      </c>
    </row>
    <row r="902" spans="1:32" s="10" customFormat="1" x14ac:dyDescent="0.25">
      <c r="A902" s="11">
        <v>902</v>
      </c>
      <c r="B902" s="11" t="s">
        <v>1152</v>
      </c>
      <c r="C902" s="12">
        <v>45629.77083333333</v>
      </c>
      <c r="D902" s="12">
        <v>45631.77083333333</v>
      </c>
      <c r="E902" s="11" t="s">
        <v>1153</v>
      </c>
      <c r="F902" s="11" t="s">
        <v>153</v>
      </c>
      <c r="G902" s="11" t="s">
        <v>114</v>
      </c>
      <c r="H902" s="11" t="s">
        <v>52</v>
      </c>
      <c r="I902" s="11" t="s">
        <v>53</v>
      </c>
      <c r="J902" s="11" t="s">
        <v>54</v>
      </c>
      <c r="K902" s="11" t="s">
        <v>39</v>
      </c>
      <c r="L902" s="11" t="s">
        <v>176</v>
      </c>
      <c r="M902" s="11" t="s">
        <v>1154</v>
      </c>
      <c r="N902" s="11" t="s">
        <v>42</v>
      </c>
      <c r="O902" s="11">
        <v>4</v>
      </c>
      <c r="P902" s="13">
        <v>2685.66</v>
      </c>
      <c r="Q902" s="14">
        <v>0</v>
      </c>
      <c r="R902" s="14">
        <v>0</v>
      </c>
      <c r="S902" s="13">
        <v>10989.89</v>
      </c>
      <c r="T902" s="13">
        <v>6477.37</v>
      </c>
      <c r="U902" s="13">
        <v>4265.27</v>
      </c>
      <c r="V902" s="11" t="s">
        <v>43</v>
      </c>
      <c r="W902" s="11" t="s">
        <v>44</v>
      </c>
      <c r="X902" s="13">
        <f>IF(OR(O902="",P902="",R902=""),"",O902*P902*(1-R902))</f>
        <v>10742.64</v>
      </c>
      <c r="Y902" s="13">
        <f>IF(OR(X902="",T902=""),"",X902-T902)</f>
        <v>4265.27</v>
      </c>
      <c r="Z902" s="14">
        <f>IFERROR(Y902/X902,"")</f>
        <v>0.397</v>
      </c>
      <c r="AA902" s="11">
        <f>IF(OR(C902="",D902=""),"",D902-C902)</f>
        <v>2</v>
      </c>
      <c r="AB902" s="11">
        <f>IF(C902="","",MONTH(C902))</f>
        <v>12</v>
      </c>
      <c r="AC902" s="11">
        <f>IF(C902="","",YEAR(C902))</f>
        <v>2024</v>
      </c>
      <c r="AD902" s="11" t="s">
        <v>65</v>
      </c>
      <c r="AE902" s="11" t="s">
        <v>66</v>
      </c>
      <c r="AF902" s="11" t="s">
        <v>2838</v>
      </c>
    </row>
    <row r="903" spans="1:32" s="10" customFormat="1" x14ac:dyDescent="0.25">
      <c r="A903" s="11">
        <v>903</v>
      </c>
      <c r="B903" s="11" t="s">
        <v>414</v>
      </c>
      <c r="C903" s="12">
        <v>45892.77083333333</v>
      </c>
      <c r="D903" s="12">
        <v>45897.77083333333</v>
      </c>
      <c r="E903" s="11" t="s">
        <v>415</v>
      </c>
      <c r="F903" s="11" t="s">
        <v>149</v>
      </c>
      <c r="G903" s="11" t="s">
        <v>51</v>
      </c>
      <c r="H903" s="11" t="s">
        <v>52</v>
      </c>
      <c r="I903" s="11" t="s">
        <v>168</v>
      </c>
      <c r="J903" s="11" t="s">
        <v>169</v>
      </c>
      <c r="K903" s="11" t="s">
        <v>93</v>
      </c>
      <c r="L903" s="11" t="s">
        <v>99</v>
      </c>
      <c r="M903" s="11" t="s">
        <v>416</v>
      </c>
      <c r="N903" s="11" t="s">
        <v>64</v>
      </c>
      <c r="O903" s="11">
        <v>3</v>
      </c>
      <c r="P903" s="13">
        <v>3703.96</v>
      </c>
      <c r="Q903" s="14">
        <v>0.15</v>
      </c>
      <c r="R903" s="14">
        <v>0.15</v>
      </c>
      <c r="S903" s="13">
        <v>9549.44</v>
      </c>
      <c r="T903" s="13">
        <v>5586.28</v>
      </c>
      <c r="U903" s="13">
        <v>3858.82</v>
      </c>
      <c r="V903" s="11" t="s">
        <v>43</v>
      </c>
      <c r="W903" s="11" t="s">
        <v>122</v>
      </c>
      <c r="X903" s="13">
        <f>IF(OR(O903="",P903="",R903=""),"",O903*P903*(1-R903))</f>
        <v>9445.1</v>
      </c>
      <c r="Y903" s="13">
        <f>IF(OR(X903="",T903=""),"",X903-T903)</f>
        <v>3858.82</v>
      </c>
      <c r="Z903" s="14">
        <f>IFERROR(Y903/X903,"")</f>
        <v>0.4086</v>
      </c>
      <c r="AA903" s="11">
        <f>IF(OR(C903="",D903=""),"",D903-C903)</f>
        <v>5</v>
      </c>
      <c r="AB903" s="11">
        <f>IF(C903="","",MONTH(C903))</f>
        <v>8</v>
      </c>
      <c r="AC903" s="11">
        <f>IF(C903="","",YEAR(C903))</f>
        <v>2025</v>
      </c>
      <c r="AD903" s="11" t="s">
        <v>65</v>
      </c>
      <c r="AE903" s="11" t="s">
        <v>66</v>
      </c>
      <c r="AF903" s="11" t="s">
        <v>2839</v>
      </c>
    </row>
    <row r="904" spans="1:32" s="10" customFormat="1" x14ac:dyDescent="0.25">
      <c r="A904" s="11">
        <v>904</v>
      </c>
      <c r="B904" s="11" t="s">
        <v>1280</v>
      </c>
      <c r="C904" s="12">
        <v>45759.77083333333</v>
      </c>
      <c r="D904" s="12">
        <v>45759.77083333333</v>
      </c>
      <c r="E904" s="11" t="s">
        <v>1281</v>
      </c>
      <c r="F904" s="11" t="s">
        <v>153</v>
      </c>
      <c r="G904" s="11" t="s">
        <v>51</v>
      </c>
      <c r="H904" s="11" t="s">
        <v>36</v>
      </c>
      <c r="I904" s="11" t="s">
        <v>157</v>
      </c>
      <c r="J904" s="11" t="s">
        <v>158</v>
      </c>
      <c r="K904" s="11" t="s">
        <v>39</v>
      </c>
      <c r="L904" s="11" t="s">
        <v>145</v>
      </c>
      <c r="M904" s="11" t="s">
        <v>1282</v>
      </c>
      <c r="N904" s="11" t="s">
        <v>42</v>
      </c>
      <c r="O904" s="11">
        <v>9</v>
      </c>
      <c r="P904" s="13">
        <v>1118.68</v>
      </c>
      <c r="Q904" s="14">
        <v>0</v>
      </c>
      <c r="R904" s="14">
        <v>0</v>
      </c>
      <c r="S904" s="13">
        <v>10348.43</v>
      </c>
      <c r="T904" s="13">
        <v>8595.37</v>
      </c>
      <c r="U904" s="13">
        <v>1472.75</v>
      </c>
      <c r="V904" s="11" t="s">
        <v>43</v>
      </c>
      <c r="W904" s="11" t="s">
        <v>122</v>
      </c>
      <c r="X904" s="13">
        <f>IF(OR(O904="",P904="",R904=""),"",O904*P904*(1-R904))</f>
        <v>10068.12</v>
      </c>
      <c r="Y904" s="13">
        <f>IF(OR(X904="",T904=""),"",X904-T904)</f>
        <v>1472.75</v>
      </c>
      <c r="Z904" s="14">
        <f>IFERROR(Y904/X904,"")</f>
        <v>0.1463</v>
      </c>
      <c r="AA904" s="11">
        <f>IF(OR(C904="",D904=""),"",D904-C904)</f>
        <v>0</v>
      </c>
      <c r="AB904" s="11">
        <f>IF(C904="","",MONTH(C904))</f>
        <v>4</v>
      </c>
      <c r="AC904" s="11">
        <f>IF(C904="","",YEAR(C904))</f>
        <v>2025</v>
      </c>
      <c r="AD904" s="11" t="s">
        <v>65</v>
      </c>
      <c r="AE904" s="11" t="s">
        <v>66</v>
      </c>
      <c r="AF904" s="11" t="s">
        <v>2839</v>
      </c>
    </row>
    <row r="905" spans="1:32" s="10" customFormat="1" x14ac:dyDescent="0.25">
      <c r="A905" s="11">
        <v>905</v>
      </c>
      <c r="B905" s="11" t="s">
        <v>826</v>
      </c>
      <c r="C905" s="12">
        <v>45931.77083333333</v>
      </c>
      <c r="D905" s="12">
        <v>45937.77083333333</v>
      </c>
      <c r="E905" s="11" t="s">
        <v>827</v>
      </c>
      <c r="F905" s="11" t="s">
        <v>61</v>
      </c>
      <c r="G905" s="11" t="s">
        <v>51</v>
      </c>
      <c r="H905" s="11" t="s">
        <v>36</v>
      </c>
      <c r="I905" s="11" t="s">
        <v>143</v>
      </c>
      <c r="J905" s="11" t="s">
        <v>144</v>
      </c>
      <c r="K905" s="11" t="s">
        <v>55</v>
      </c>
      <c r="L905" s="11" t="s">
        <v>74</v>
      </c>
      <c r="M905" s="11" t="s">
        <v>828</v>
      </c>
      <c r="N905" s="11" t="s">
        <v>76</v>
      </c>
      <c r="O905" s="11">
        <v>4</v>
      </c>
      <c r="P905" s="13">
        <v>3944.64</v>
      </c>
      <c r="Q905" s="14">
        <v>0.25</v>
      </c>
      <c r="R905" s="14">
        <v>0.25</v>
      </c>
      <c r="S905" s="13">
        <v>12116.89</v>
      </c>
      <c r="T905" s="13">
        <v>6682.92</v>
      </c>
      <c r="U905" s="13">
        <v>5151</v>
      </c>
      <c r="V905" s="11" t="s">
        <v>43</v>
      </c>
      <c r="W905" s="11" t="s">
        <v>122</v>
      </c>
      <c r="X905" s="13">
        <f>IF(OR(O905="",P905="",R905=""),"",O905*P905*(1-R905))</f>
        <v>11833.92</v>
      </c>
      <c r="Y905" s="13">
        <f>IF(OR(X905="",T905=""),"",X905-T905)</f>
        <v>5151</v>
      </c>
      <c r="Z905" s="14">
        <f>IFERROR(Y905/X905,"")</f>
        <v>0.4353</v>
      </c>
      <c r="AA905" s="11">
        <f>IF(OR(C905="",D905=""),"",D905-C905)</f>
        <v>6</v>
      </c>
      <c r="AB905" s="11">
        <f>IF(C905="","",MONTH(C905))</f>
        <v>10</v>
      </c>
      <c r="AC905" s="11">
        <f>IF(C905="","",YEAR(C905))</f>
        <v>2025</v>
      </c>
      <c r="AD905" s="11" t="s">
        <v>65</v>
      </c>
      <c r="AE905" s="11" t="s">
        <v>66</v>
      </c>
      <c r="AF905" s="11" t="s">
        <v>2839</v>
      </c>
    </row>
    <row r="906" spans="1:32" s="10" customFormat="1" x14ac:dyDescent="0.25">
      <c r="A906" s="11">
        <v>906</v>
      </c>
      <c r="B906" s="11" t="s">
        <v>1100</v>
      </c>
      <c r="C906" s="12">
        <v>45794.77083333333</v>
      </c>
      <c r="D906" s="12">
        <v>45796.77083333333</v>
      </c>
      <c r="E906" s="11" t="s">
        <v>1101</v>
      </c>
      <c r="F906" s="11" t="s">
        <v>61</v>
      </c>
      <c r="G906" s="11" t="s">
        <v>109</v>
      </c>
      <c r="H906" s="11" t="s">
        <v>80</v>
      </c>
      <c r="I906" s="11" t="s">
        <v>91</v>
      </c>
      <c r="J906" s="11" t="s">
        <v>92</v>
      </c>
      <c r="K906" s="11" t="s">
        <v>39</v>
      </c>
      <c r="L906" s="11" t="s">
        <v>110</v>
      </c>
      <c r="M906" s="11" t="s">
        <v>1102</v>
      </c>
      <c r="N906" s="11" t="s">
        <v>76</v>
      </c>
      <c r="O906" s="11">
        <v>9</v>
      </c>
      <c r="P906" s="13">
        <v>847.76</v>
      </c>
      <c r="Q906" s="14">
        <v>0.15</v>
      </c>
      <c r="R906" s="14">
        <v>0.15</v>
      </c>
      <c r="S906" s="13">
        <v>6589.37</v>
      </c>
      <c r="T906" s="13">
        <v>5376.17</v>
      </c>
      <c r="U906" s="13">
        <v>1109.19</v>
      </c>
      <c r="V906" s="11" t="s">
        <v>178</v>
      </c>
      <c r="W906" s="11" t="s">
        <v>44</v>
      </c>
      <c r="X906" s="13">
        <f>IF(OR(O906="",P906="",R906=""),"",O906*P906*(1-R906))</f>
        <v>6485.36</v>
      </c>
      <c r="Y906" s="13">
        <f>IF(OR(X906="",T906=""),"",X906-T906)</f>
        <v>1109.19</v>
      </c>
      <c r="Z906" s="14">
        <f>IFERROR(Y906/X906,"")</f>
        <v>0.171</v>
      </c>
      <c r="AA906" s="11">
        <f>IF(OR(C906="",D906=""),"",D906-C906)</f>
        <v>2</v>
      </c>
      <c r="AB906" s="11">
        <f>IF(C906="","",MONTH(C906))</f>
        <v>5</v>
      </c>
      <c r="AC906" s="11">
        <f>IF(C906="","",YEAR(C906))</f>
        <v>2025</v>
      </c>
      <c r="AD906" s="11" t="s">
        <v>65</v>
      </c>
      <c r="AE906" s="11" t="s">
        <v>66</v>
      </c>
      <c r="AF906" s="11" t="s">
        <v>2840</v>
      </c>
    </row>
    <row r="907" spans="1:32" s="10" customFormat="1" x14ac:dyDescent="0.25">
      <c r="A907" s="11">
        <v>907</v>
      </c>
      <c r="B907" s="11" t="s">
        <v>663</v>
      </c>
      <c r="C907" s="12">
        <v>45906.77083333333</v>
      </c>
      <c r="D907" s="12">
        <v>45914.77083333333</v>
      </c>
      <c r="E907" s="11" t="s">
        <v>664</v>
      </c>
      <c r="F907" s="11" t="s">
        <v>163</v>
      </c>
      <c r="G907" s="11" t="s">
        <v>109</v>
      </c>
      <c r="H907" s="11" t="s">
        <v>52</v>
      </c>
      <c r="I907" s="11" t="s">
        <v>168</v>
      </c>
      <c r="J907" s="11" t="s">
        <v>169</v>
      </c>
      <c r="K907" s="11" t="s">
        <v>93</v>
      </c>
      <c r="L907" s="11" t="s">
        <v>99</v>
      </c>
      <c r="M907" s="11" t="s">
        <v>665</v>
      </c>
      <c r="N907" s="11" t="s">
        <v>76</v>
      </c>
      <c r="O907" s="11">
        <v>3</v>
      </c>
      <c r="P907" s="13">
        <v>1711.32</v>
      </c>
      <c r="Q907" s="14">
        <v>0</v>
      </c>
      <c r="R907" s="14">
        <v>0</v>
      </c>
      <c r="S907" s="13">
        <v>5206.53</v>
      </c>
      <c r="T907" s="13">
        <v>3930</v>
      </c>
      <c r="U907" s="13">
        <v>1203.96</v>
      </c>
      <c r="V907" s="11" t="s">
        <v>43</v>
      </c>
      <c r="W907" s="11" t="s">
        <v>122</v>
      </c>
      <c r="X907" s="13">
        <f>IF(OR(O907="",P907="",R907=""),"",O907*P907*(1-R907))</f>
        <v>5133.96</v>
      </c>
      <c r="Y907" s="13">
        <f>IF(OR(X907="",T907=""),"",X907-T907)</f>
        <v>1203.96</v>
      </c>
      <c r="Z907" s="14">
        <f>IFERROR(Y907/X907,"")</f>
        <v>0.2345</v>
      </c>
      <c r="AA907" s="11">
        <f>IF(OR(C907="",D907=""),"",D907-C907)</f>
        <v>8</v>
      </c>
      <c r="AB907" s="11">
        <f>IF(C907="","",MONTH(C907))</f>
        <v>9</v>
      </c>
      <c r="AC907" s="11">
        <f>IF(C907="","",YEAR(C907))</f>
        <v>2025</v>
      </c>
      <c r="AD907" s="11" t="s">
        <v>65</v>
      </c>
      <c r="AE907" s="11" t="s">
        <v>66</v>
      </c>
      <c r="AF907" s="11" t="s">
        <v>2839</v>
      </c>
    </row>
    <row r="908" spans="1:32" s="10" customFormat="1" x14ac:dyDescent="0.25">
      <c r="A908" s="11">
        <v>908</v>
      </c>
      <c r="B908" s="11" t="s">
        <v>1429</v>
      </c>
      <c r="C908" s="12">
        <v>45341.77083333333</v>
      </c>
      <c r="D908" s="12">
        <v>45348.77083333333</v>
      </c>
      <c r="E908" s="11" t="s">
        <v>1430</v>
      </c>
      <c r="F908" s="11" t="s">
        <v>186</v>
      </c>
      <c r="G908" s="11" t="s">
        <v>35</v>
      </c>
      <c r="H908" s="11" t="s">
        <v>71</v>
      </c>
      <c r="I908" s="11" t="s">
        <v>211</v>
      </c>
      <c r="J908" s="11" t="s">
        <v>212</v>
      </c>
      <c r="K908" s="11" t="s">
        <v>93</v>
      </c>
      <c r="L908" s="11" t="s">
        <v>94</v>
      </c>
      <c r="M908" s="11" t="s">
        <v>1431</v>
      </c>
      <c r="N908" s="11" t="s">
        <v>64</v>
      </c>
      <c r="O908" s="11">
        <v>9</v>
      </c>
      <c r="P908" s="13">
        <v>3779.31</v>
      </c>
      <c r="Q908" s="14">
        <v>0.2</v>
      </c>
      <c r="R908" s="14">
        <v>0.2</v>
      </c>
      <c r="S908" s="13">
        <v>27322.9</v>
      </c>
      <c r="T908" s="13">
        <v>17940.43</v>
      </c>
      <c r="U908" s="13">
        <v>9270.6</v>
      </c>
      <c r="V908" s="11" t="s">
        <v>43</v>
      </c>
      <c r="W908" s="11" t="s">
        <v>122</v>
      </c>
      <c r="X908" s="13">
        <f>IF(OR(O908="",P908="",R908=""),"",O908*P908*(1-R908))</f>
        <v>27211.03</v>
      </c>
      <c r="Y908" s="13">
        <f>IF(OR(X908="",T908=""),"",X908-T908)</f>
        <v>9270.6</v>
      </c>
      <c r="Z908" s="14">
        <f>IFERROR(Y908/X908,"")</f>
        <v>0.3407</v>
      </c>
      <c r="AA908" s="11">
        <f>IF(OR(C908="",D908=""),"",D908-C908)</f>
        <v>7</v>
      </c>
      <c r="AB908" s="11">
        <f>IF(C908="","",MONTH(C908))</f>
        <v>2</v>
      </c>
      <c r="AC908" s="11">
        <f>IF(C908="","",YEAR(C908))</f>
        <v>2024</v>
      </c>
      <c r="AD908" s="11" t="s">
        <v>65</v>
      </c>
      <c r="AE908" s="11" t="s">
        <v>66</v>
      </c>
      <c r="AF908" s="11" t="s">
        <v>2839</v>
      </c>
    </row>
    <row r="909" spans="1:32" s="10" customFormat="1" x14ac:dyDescent="0.25">
      <c r="A909" s="11">
        <v>909</v>
      </c>
      <c r="B909" s="11" t="s">
        <v>1872</v>
      </c>
      <c r="C909" s="12">
        <v>45697.77083333333</v>
      </c>
      <c r="D909" s="12">
        <v>45701.77083333333</v>
      </c>
      <c r="E909" s="11" t="s">
        <v>1873</v>
      </c>
      <c r="F909" s="11" t="s">
        <v>135</v>
      </c>
      <c r="G909" s="11" t="s">
        <v>51</v>
      </c>
      <c r="H909" s="11" t="s">
        <v>36</v>
      </c>
      <c r="I909" s="11" t="s">
        <v>157</v>
      </c>
      <c r="J909" s="11" t="s">
        <v>158</v>
      </c>
      <c r="K909" s="11" t="s">
        <v>93</v>
      </c>
      <c r="L909" s="11" t="s">
        <v>196</v>
      </c>
      <c r="M909" s="11" t="s">
        <v>1874</v>
      </c>
      <c r="N909" s="11" t="s">
        <v>232</v>
      </c>
      <c r="O909" s="11">
        <v>5</v>
      </c>
      <c r="P909" s="13">
        <v>4276.29</v>
      </c>
      <c r="Q909" s="14">
        <v>0</v>
      </c>
      <c r="R909" s="14">
        <v>0</v>
      </c>
      <c r="S909" s="13">
        <v>21443.63</v>
      </c>
      <c r="T909" s="13">
        <v>13240.21</v>
      </c>
      <c r="U909" s="13">
        <v>8141.24</v>
      </c>
      <c r="V909" s="11" t="s">
        <v>178</v>
      </c>
      <c r="W909" s="11" t="s">
        <v>44</v>
      </c>
      <c r="X909" s="13">
        <f>IF(OR(O909="",P909="",R909=""),"",O909*P909*(1-R909))</f>
        <v>21381.45</v>
      </c>
      <c r="Y909" s="13">
        <f>IF(OR(X909="",T909=""),"",X909-T909)</f>
        <v>8141.24</v>
      </c>
      <c r="Z909" s="14">
        <f>IFERROR(Y909/X909,"")</f>
        <v>0.3808</v>
      </c>
      <c r="AA909" s="11">
        <f>IF(OR(C909="",D909=""),"",D909-C909)</f>
        <v>4</v>
      </c>
      <c r="AB909" s="11">
        <f>IF(C909="","",MONTH(C909))</f>
        <v>2</v>
      </c>
      <c r="AC909" s="11">
        <f>IF(C909="","",YEAR(C909))</f>
        <v>2025</v>
      </c>
      <c r="AD909" s="11" t="s">
        <v>65</v>
      </c>
      <c r="AE909" s="11" t="s">
        <v>66</v>
      </c>
      <c r="AF909" s="11" t="s">
        <v>2841</v>
      </c>
    </row>
    <row r="910" spans="1:32" s="10" customFormat="1" x14ac:dyDescent="0.25">
      <c r="A910" s="11">
        <v>910</v>
      </c>
      <c r="B910" s="11" t="s">
        <v>577</v>
      </c>
      <c r="C910" s="12">
        <v>45380.77083333333</v>
      </c>
      <c r="D910" s="12">
        <v>45376.77083333333</v>
      </c>
      <c r="E910" s="11" t="s">
        <v>578</v>
      </c>
      <c r="F910" s="11" t="s">
        <v>108</v>
      </c>
      <c r="G910" s="11" t="s">
        <v>114</v>
      </c>
      <c r="H910" s="11" t="s">
        <v>36</v>
      </c>
      <c r="I910" s="11" t="s">
        <v>37</v>
      </c>
      <c r="J910" s="11" t="s">
        <v>38</v>
      </c>
      <c r="K910" s="11" t="s">
        <v>93</v>
      </c>
      <c r="L910" s="11" t="s">
        <v>196</v>
      </c>
      <c r="M910" s="11" t="s">
        <v>579</v>
      </c>
      <c r="N910" s="11" t="s">
        <v>42</v>
      </c>
      <c r="O910" s="11">
        <v>5</v>
      </c>
      <c r="P910" s="13">
        <v>907.54</v>
      </c>
      <c r="Q910" s="14">
        <v>0.15</v>
      </c>
      <c r="R910" s="14">
        <v>0.15</v>
      </c>
      <c r="S910" s="13">
        <v>4099.69</v>
      </c>
      <c r="T910" s="13">
        <v>2769.26</v>
      </c>
      <c r="U910" s="13">
        <v>1087.78</v>
      </c>
      <c r="V910" s="11" t="s">
        <v>43</v>
      </c>
      <c r="W910" s="11" t="s">
        <v>122</v>
      </c>
      <c r="X910" s="13">
        <f>IF(OR(O910="",P910="",R910=""),"",O910*P910*(1-R910))</f>
        <v>3857.04</v>
      </c>
      <c r="Y910" s="13">
        <f>IF(OR(X910="",T910=""),"",X910-T910)</f>
        <v>1087.78</v>
      </c>
      <c r="Z910" s="14">
        <f>IFERROR(Y910/X910,"")</f>
        <v>0.282</v>
      </c>
      <c r="AA910" s="11">
        <f>IF(OR(C910="",D910=""),"",D910-C910)</f>
        <v>-4</v>
      </c>
      <c r="AB910" s="11">
        <f>IF(C910="","",MONTH(C910))</f>
        <v>3</v>
      </c>
      <c r="AC910" s="11">
        <f>IF(C910="","",YEAR(C910))</f>
        <v>2024</v>
      </c>
      <c r="AD910" s="11" t="s">
        <v>65</v>
      </c>
      <c r="AE910" s="11" t="s">
        <v>66</v>
      </c>
      <c r="AF910" s="11" t="s">
        <v>2842</v>
      </c>
    </row>
    <row r="911" spans="1:32" s="10" customFormat="1" x14ac:dyDescent="0.25">
      <c r="A911" s="11">
        <v>911</v>
      </c>
      <c r="B911" s="11" t="s">
        <v>971</v>
      </c>
      <c r="C911" s="12">
        <v>45521.77083333333</v>
      </c>
      <c r="D911" s="12">
        <v>45527.77083333333</v>
      </c>
      <c r="E911" s="11" t="s">
        <v>972</v>
      </c>
      <c r="F911" s="11" t="s">
        <v>70</v>
      </c>
      <c r="G911" s="11" t="s">
        <v>35</v>
      </c>
      <c r="H911" s="11" t="s">
        <v>71</v>
      </c>
      <c r="I911" s="11" t="s">
        <v>103</v>
      </c>
      <c r="J911" s="11" t="s">
        <v>104</v>
      </c>
      <c r="K911" s="11" t="s">
        <v>55</v>
      </c>
      <c r="L911" s="11" t="s">
        <v>83</v>
      </c>
      <c r="M911" s="11" t="s">
        <v>973</v>
      </c>
      <c r="N911" s="11" t="s">
        <v>64</v>
      </c>
      <c r="O911" s="11">
        <v>7</v>
      </c>
      <c r="P911" s="13">
        <v>557.21</v>
      </c>
      <c r="Q911" s="14">
        <v>0.1</v>
      </c>
      <c r="R911" s="14">
        <v>0.1</v>
      </c>
      <c r="S911" s="13">
        <v>3797.79</v>
      </c>
      <c r="T911" s="13">
        <v>2191.5</v>
      </c>
      <c r="U911" s="13">
        <v>1213.48</v>
      </c>
      <c r="V911" s="11" t="s">
        <v>43</v>
      </c>
      <c r="W911" s="11" t="s">
        <v>122</v>
      </c>
      <c r="X911" s="13">
        <f>IF(OR(O911="",P911="",R911=""),"",O911*P911*(1-R911))</f>
        <v>3510.42</v>
      </c>
      <c r="Y911" s="13">
        <f>IF(OR(X911="",T911=""),"",X911-T911)</f>
        <v>1318.92</v>
      </c>
      <c r="Z911" s="14">
        <f>IFERROR(Y911/X911,"")</f>
        <v>0.3757</v>
      </c>
      <c r="AA911" s="11">
        <f>IF(OR(C911="",D911=""),"",D911-C911)</f>
        <v>6</v>
      </c>
      <c r="AB911" s="11">
        <f>IF(C911="","",MONTH(C911))</f>
        <v>8</v>
      </c>
      <c r="AC911" s="11">
        <f>IF(C911="","",YEAR(C911))</f>
        <v>2024</v>
      </c>
      <c r="AD911" s="11" t="s">
        <v>65</v>
      </c>
      <c r="AE911" s="11" t="s">
        <v>66</v>
      </c>
      <c r="AF911" s="11" t="s">
        <v>2843</v>
      </c>
    </row>
    <row r="912" spans="1:32" s="10" customFormat="1" x14ac:dyDescent="0.25">
      <c r="A912" s="11">
        <v>912</v>
      </c>
      <c r="B912" s="11" t="s">
        <v>518</v>
      </c>
      <c r="C912" s="12">
        <v>45435.77083333333</v>
      </c>
      <c r="D912" s="12">
        <v>45436.77083333333</v>
      </c>
      <c r="E912" s="11" t="s">
        <v>519</v>
      </c>
      <c r="F912" s="11" t="s">
        <v>153</v>
      </c>
      <c r="G912" s="11" t="s">
        <v>51</v>
      </c>
      <c r="H912" s="11" t="s">
        <v>36</v>
      </c>
      <c r="I912" s="11" t="s">
        <v>143</v>
      </c>
      <c r="J912" s="11" t="s">
        <v>144</v>
      </c>
      <c r="K912" s="11" t="s">
        <v>93</v>
      </c>
      <c r="L912" s="11" t="s">
        <v>99</v>
      </c>
      <c r="M912" s="11" t="s">
        <v>520</v>
      </c>
      <c r="N912" s="11" t="s">
        <v>58</v>
      </c>
      <c r="O912" s="11">
        <v>1</v>
      </c>
      <c r="P912" s="13">
        <v>634.13</v>
      </c>
      <c r="Q912" s="14">
        <v>0</v>
      </c>
      <c r="R912" s="14">
        <v>0</v>
      </c>
      <c r="S912" s="13">
        <v>808.67</v>
      </c>
      <c r="T912" s="13">
        <v>453.35</v>
      </c>
      <c r="U912" s="13">
        <v>180.78</v>
      </c>
      <c r="V912" s="11" t="s">
        <v>121</v>
      </c>
      <c r="W912" s="11" t="s">
        <v>122</v>
      </c>
      <c r="X912" s="13">
        <f>IF(OR(O912="",P912="",R912=""),"",O912*P912*(1-R912))</f>
        <v>634.13</v>
      </c>
      <c r="Y912" s="13">
        <f>IF(OR(X912="",T912=""),"",X912-T912)</f>
        <v>180.78</v>
      </c>
      <c r="Z912" s="14">
        <f>IFERROR(Y912/X912,"")</f>
        <v>0.2851</v>
      </c>
      <c r="AA912" s="11">
        <f>IF(OR(C912="",D912=""),"",D912-C912)</f>
        <v>1</v>
      </c>
      <c r="AB912" s="11">
        <f>IF(C912="","",MONTH(C912))</f>
        <v>5</v>
      </c>
      <c r="AC912" s="11">
        <f>IF(C912="","",YEAR(C912))</f>
        <v>2024</v>
      </c>
      <c r="AD912" s="11" t="s">
        <v>65</v>
      </c>
      <c r="AE912" s="11" t="s">
        <v>66</v>
      </c>
      <c r="AF912" s="11" t="s">
        <v>2844</v>
      </c>
    </row>
    <row r="913" spans="1:32" s="10" customFormat="1" x14ac:dyDescent="0.25">
      <c r="A913" s="11">
        <v>913</v>
      </c>
      <c r="B913" s="11" t="s">
        <v>1165</v>
      </c>
      <c r="C913" s="12">
        <v>45823.77083333333</v>
      </c>
      <c r="D913" s="12">
        <v>45825.77083333333</v>
      </c>
      <c r="E913" s="11" t="s">
        <v>1166</v>
      </c>
      <c r="F913" s="11" t="s">
        <v>139</v>
      </c>
      <c r="G913" s="11" t="s">
        <v>114</v>
      </c>
      <c r="H913" s="11" t="s">
        <v>80</v>
      </c>
      <c r="I913" s="11" t="s">
        <v>91</v>
      </c>
      <c r="J913" s="11" t="s">
        <v>92</v>
      </c>
      <c r="K913" s="11" t="s">
        <v>39</v>
      </c>
      <c r="L913" s="11" t="s">
        <v>40</v>
      </c>
      <c r="M913" s="11" t="s">
        <v>1167</v>
      </c>
      <c r="N913" s="11" t="s">
        <v>64</v>
      </c>
      <c r="O913" s="11">
        <v>3</v>
      </c>
      <c r="P913" s="13">
        <v>4289.37</v>
      </c>
      <c r="Q913" s="14">
        <v>0.1</v>
      </c>
      <c r="R913" s="14">
        <v>0.1</v>
      </c>
      <c r="S913" s="13">
        <v>11778.71</v>
      </c>
      <c r="T913" s="13">
        <v>6829.43</v>
      </c>
      <c r="U913" s="13">
        <v>4751.87</v>
      </c>
      <c r="V913" s="11" t="s">
        <v>43</v>
      </c>
      <c r="W913" s="11" t="s">
        <v>122</v>
      </c>
      <c r="X913" s="13">
        <f>IF(OR(O913="",P913="",R913=""),"",O913*P913*(1-R913))</f>
        <v>11581.3</v>
      </c>
      <c r="Y913" s="13">
        <f>IF(OR(X913="",T913=""),"",X913-T913)</f>
        <v>4751.87</v>
      </c>
      <c r="Z913" s="14">
        <f>IFERROR(Y913/X913,"")</f>
        <v>0.4103</v>
      </c>
      <c r="AA913" s="11">
        <f>IF(OR(C913="",D913=""),"",D913-C913)</f>
        <v>2</v>
      </c>
      <c r="AB913" s="11">
        <f>IF(C913="","",MONTH(C913))</f>
        <v>6</v>
      </c>
      <c r="AC913" s="11">
        <f>IF(C913="","",YEAR(C913))</f>
        <v>2025</v>
      </c>
      <c r="AD913" s="11" t="s">
        <v>65</v>
      </c>
      <c r="AE913" s="11" t="s">
        <v>66</v>
      </c>
      <c r="AF913" s="11" t="s">
        <v>2839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" customWidth="1"/>
    <col min="2" max="2" width="80" style="1" customWidth="1"/>
  </cols>
  <sheetData>
    <row r="1" spans="1:2" s="5" customFormat="1" x14ac:dyDescent="0.25">
      <c r="A1" s="6" t="s">
        <v>2845</v>
      </c>
      <c r="B1" s="6" t="s">
        <v>2846</v>
      </c>
    </row>
    <row r="2" spans="1:2" x14ac:dyDescent="0.25">
      <c r="A2" s="1" t="s">
        <v>2847</v>
      </c>
      <c r="B2" s="1" t="s">
        <v>2848</v>
      </c>
    </row>
    <row r="3" spans="1:2" x14ac:dyDescent="0.25">
      <c r="A3" s="1" t="s">
        <v>2849</v>
      </c>
      <c r="B3" s="1" t="s">
        <v>2850</v>
      </c>
    </row>
    <row r="4" spans="1:2" x14ac:dyDescent="0.25">
      <c r="A4" s="1" t="s">
        <v>2851</v>
      </c>
      <c r="B4" s="1" t="s">
        <v>2850</v>
      </c>
    </row>
    <row r="5" spans="1:2" x14ac:dyDescent="0.25">
      <c r="A5" s="1" t="s">
        <v>2852</v>
      </c>
      <c r="B5" s="1" t="s">
        <v>2853</v>
      </c>
    </row>
    <row r="6" spans="1:2" x14ac:dyDescent="0.25">
      <c r="A6" s="1" t="s">
        <v>2854</v>
      </c>
      <c r="B6" s="1" t="s">
        <v>2855</v>
      </c>
    </row>
    <row r="7" spans="1:2" x14ac:dyDescent="0.25">
      <c r="A7" s="1" t="s">
        <v>2856</v>
      </c>
      <c r="B7" s="1" t="s">
        <v>2857</v>
      </c>
    </row>
    <row r="8" spans="1:2" x14ac:dyDescent="0.25">
      <c r="A8" s="1" t="s">
        <v>2858</v>
      </c>
      <c r="B8" s="1" t="s">
        <v>2859</v>
      </c>
    </row>
    <row r="9" spans="1:2" x14ac:dyDescent="0.25">
      <c r="A9" s="1" t="s">
        <v>2860</v>
      </c>
      <c r="B9" s="1" t="s">
        <v>2861</v>
      </c>
    </row>
    <row r="10" spans="1:2" x14ac:dyDescent="0.25">
      <c r="A10" s="1" t="s">
        <v>2862</v>
      </c>
      <c r="B10" s="1" t="s">
        <v>2863</v>
      </c>
    </row>
    <row r="11" spans="1:2" x14ac:dyDescent="0.25">
      <c r="A11" s="1" t="s">
        <v>2864</v>
      </c>
      <c r="B11" s="1" t="s">
        <v>2865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business_rules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2026-06-23T08:22:57Z</dcterms:created>
  <dcterms:modified xsi:type="dcterms:W3CDTF">2026-06-23T08:22:57Z</dcterms:modified>
</cp:coreProperties>
</file>